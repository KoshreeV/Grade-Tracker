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5AFBA6A6-DC72-475F-B084-EA650BE7A1C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Excel Project (2)" sheetId="3" r:id="rId1"/>
    <sheet name="Excel Project" sheetId="1" r:id="rId2"/>
    <sheet name="Course data" sheetId="2" r:id="rId3"/>
  </sheets>
  <definedNames>
    <definedName name="_xlchart.v1.0" hidden="1">'Excel Project (2)'!$B$8:$B$69</definedName>
    <definedName name="_xlchart.v1.1" hidden="1">'Excel Project (2)'!$N$8:$N$69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4" i="3" l="1"/>
  <c r="I88" i="3"/>
  <c r="I87" i="3"/>
  <c r="I86" i="3"/>
  <c r="Q81" i="3"/>
  <c r="Q80" i="3"/>
  <c r="P67" i="1"/>
  <c r="M85" i="1" s="1"/>
  <c r="I14" i="2"/>
  <c r="I4" i="2"/>
  <c r="E88" i="3"/>
  <c r="E87" i="3"/>
  <c r="L54" i="3"/>
  <c r="J51" i="3"/>
  <c r="K51" i="3"/>
  <c r="E86" i="3" s="1"/>
  <c r="J52" i="3"/>
  <c r="K52" i="3"/>
  <c r="J53" i="3"/>
  <c r="K53" i="3"/>
  <c r="J54" i="3"/>
  <c r="K54" i="3"/>
  <c r="J55" i="3"/>
  <c r="K55" i="3"/>
  <c r="J56" i="3"/>
  <c r="K56" i="3"/>
  <c r="J57" i="3"/>
  <c r="K57" i="3"/>
  <c r="J58" i="3"/>
  <c r="K58" i="3"/>
  <c r="J59" i="3"/>
  <c r="K59" i="3"/>
  <c r="J60" i="3"/>
  <c r="K60" i="3"/>
  <c r="J61" i="3"/>
  <c r="K61" i="3"/>
  <c r="J62" i="3"/>
  <c r="K62" i="3"/>
  <c r="J63" i="3"/>
  <c r="K63" i="3"/>
  <c r="J64" i="3"/>
  <c r="K64" i="3"/>
  <c r="J65" i="3"/>
  <c r="K65" i="3"/>
  <c r="J66" i="3"/>
  <c r="K66" i="3"/>
  <c r="J67" i="3"/>
  <c r="K67" i="3"/>
  <c r="J68" i="3"/>
  <c r="K68" i="3"/>
  <c r="J69" i="3"/>
  <c r="K69" i="3"/>
  <c r="M67" i="3"/>
  <c r="M59" i="3"/>
  <c r="L69" i="3"/>
  <c r="L66" i="3"/>
  <c r="L65" i="3"/>
  <c r="L58" i="3"/>
  <c r="L57" i="3"/>
  <c r="L50" i="3"/>
  <c r="L49" i="3"/>
  <c r="L48" i="3"/>
  <c r="L41" i="3"/>
  <c r="L40" i="3"/>
  <c r="L33" i="3"/>
  <c r="L32" i="3"/>
  <c r="L25" i="3"/>
  <c r="L24" i="3"/>
  <c r="L68" i="3"/>
  <c r="L67" i="3"/>
  <c r="L64" i="3"/>
  <c r="L63" i="3"/>
  <c r="L62" i="3"/>
  <c r="L61" i="3"/>
  <c r="L60" i="3"/>
  <c r="L59" i="3"/>
  <c r="L56" i="3"/>
  <c r="L55" i="3"/>
  <c r="L53" i="3"/>
  <c r="L52" i="3"/>
  <c r="L51" i="3"/>
  <c r="M51" i="3" s="1"/>
  <c r="L45" i="3"/>
  <c r="L44" i="3"/>
  <c r="L43" i="3"/>
  <c r="L42" i="3"/>
  <c r="L39" i="3"/>
  <c r="L36" i="3"/>
  <c r="L34" i="3"/>
  <c r="L30" i="3"/>
  <c r="L29" i="3"/>
  <c r="L28" i="3"/>
  <c r="L27" i="3"/>
  <c r="L23" i="3"/>
  <c r="L22" i="3"/>
  <c r="L21" i="3"/>
  <c r="L20" i="3"/>
  <c r="L46" i="3"/>
  <c r="L38" i="3"/>
  <c r="L37" i="3"/>
  <c r="L35" i="3"/>
  <c r="L31" i="3"/>
  <c r="L26" i="3"/>
  <c r="L19" i="3"/>
  <c r="L18" i="3"/>
  <c r="L17" i="3"/>
  <c r="L16" i="3"/>
  <c r="L15" i="3"/>
  <c r="L14" i="3"/>
  <c r="L13" i="3"/>
  <c r="L12" i="3"/>
  <c r="L11" i="3"/>
  <c r="L10" i="3"/>
  <c r="L9" i="3"/>
  <c r="L8" i="3"/>
  <c r="I67" i="3"/>
  <c r="I59" i="3"/>
  <c r="I51" i="3"/>
  <c r="P67" i="3"/>
  <c r="M88" i="3" s="1"/>
  <c r="O67" i="3"/>
  <c r="P59" i="3"/>
  <c r="K87" i="3" s="1"/>
  <c r="O59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H50" i="3"/>
  <c r="J50" i="3" s="1"/>
  <c r="E50" i="3"/>
  <c r="H49" i="3"/>
  <c r="J49" i="3" s="1"/>
  <c r="E49" i="3"/>
  <c r="H48" i="3"/>
  <c r="J48" i="3" s="1"/>
  <c r="E48" i="3"/>
  <c r="H47" i="3"/>
  <c r="J47" i="3" s="1"/>
  <c r="E47" i="3"/>
  <c r="H46" i="3"/>
  <c r="J46" i="3" s="1"/>
  <c r="E46" i="3"/>
  <c r="H45" i="3"/>
  <c r="J45" i="3" s="1"/>
  <c r="E45" i="3"/>
  <c r="H44" i="3"/>
  <c r="J44" i="3" s="1"/>
  <c r="E44" i="3"/>
  <c r="H43" i="3"/>
  <c r="J43" i="3" s="1"/>
  <c r="E43" i="3"/>
  <c r="H42" i="3"/>
  <c r="J42" i="3" s="1"/>
  <c r="E42" i="3"/>
  <c r="H41" i="3"/>
  <c r="J41" i="3" s="1"/>
  <c r="E41" i="3"/>
  <c r="H40" i="3"/>
  <c r="J40" i="3" s="1"/>
  <c r="E40" i="3"/>
  <c r="H39" i="3"/>
  <c r="J39" i="3" s="1"/>
  <c r="E39" i="3"/>
  <c r="H38" i="3"/>
  <c r="J38" i="3" s="1"/>
  <c r="E38" i="3"/>
  <c r="H37" i="3"/>
  <c r="J37" i="3" s="1"/>
  <c r="E37" i="3"/>
  <c r="H36" i="3"/>
  <c r="J36" i="3" s="1"/>
  <c r="E36" i="3"/>
  <c r="H35" i="3"/>
  <c r="J35" i="3" s="1"/>
  <c r="E35" i="3"/>
  <c r="H34" i="3"/>
  <c r="J34" i="3" s="1"/>
  <c r="E34" i="3"/>
  <c r="H33" i="3"/>
  <c r="J33" i="3" s="1"/>
  <c r="E33" i="3"/>
  <c r="H32" i="3"/>
  <c r="J32" i="3" s="1"/>
  <c r="E32" i="3"/>
  <c r="H31" i="3"/>
  <c r="J31" i="3" s="1"/>
  <c r="E31" i="3"/>
  <c r="H30" i="3"/>
  <c r="J30" i="3" s="1"/>
  <c r="E30" i="3"/>
  <c r="H29" i="3"/>
  <c r="J29" i="3" s="1"/>
  <c r="E29" i="3"/>
  <c r="H28" i="3"/>
  <c r="J28" i="3" s="1"/>
  <c r="E28" i="3"/>
  <c r="H27" i="3"/>
  <c r="J27" i="3" s="1"/>
  <c r="E27" i="3"/>
  <c r="H26" i="3"/>
  <c r="J26" i="3" s="1"/>
  <c r="E26" i="3"/>
  <c r="H25" i="3"/>
  <c r="J25" i="3" s="1"/>
  <c r="E25" i="3"/>
  <c r="H24" i="3"/>
  <c r="J24" i="3" s="1"/>
  <c r="E24" i="3"/>
  <c r="H23" i="3"/>
  <c r="J23" i="3" s="1"/>
  <c r="E23" i="3"/>
  <c r="H22" i="3"/>
  <c r="J22" i="3" s="1"/>
  <c r="E22" i="3"/>
  <c r="H21" i="3"/>
  <c r="J21" i="3" s="1"/>
  <c r="E21" i="3"/>
  <c r="H20" i="3"/>
  <c r="J20" i="3" s="1"/>
  <c r="E20" i="3"/>
  <c r="H19" i="3"/>
  <c r="J19" i="3" s="1"/>
  <c r="E19" i="3"/>
  <c r="H18" i="3"/>
  <c r="J18" i="3" s="1"/>
  <c r="E18" i="3"/>
  <c r="H17" i="3"/>
  <c r="J17" i="3" s="1"/>
  <c r="E17" i="3"/>
  <c r="H16" i="3"/>
  <c r="J16" i="3" s="1"/>
  <c r="E16" i="3"/>
  <c r="H15" i="3"/>
  <c r="J15" i="3" s="1"/>
  <c r="E15" i="3"/>
  <c r="H14" i="3"/>
  <c r="J14" i="3" s="1"/>
  <c r="E14" i="3"/>
  <c r="H13" i="3"/>
  <c r="J13" i="3" s="1"/>
  <c r="E13" i="3"/>
  <c r="H12" i="3"/>
  <c r="J12" i="3" s="1"/>
  <c r="E12" i="3"/>
  <c r="H11" i="3"/>
  <c r="J11" i="3" s="1"/>
  <c r="E11" i="3"/>
  <c r="H10" i="3"/>
  <c r="J10" i="3" s="1"/>
  <c r="E10" i="3"/>
  <c r="H9" i="3"/>
  <c r="J9" i="3" s="1"/>
  <c r="E9" i="3"/>
  <c r="H8" i="3"/>
  <c r="K8" i="3" s="1"/>
  <c r="E8" i="3"/>
  <c r="M84" i="1"/>
  <c r="M83" i="1"/>
  <c r="M82" i="1"/>
  <c r="M81" i="1"/>
  <c r="M80" i="1"/>
  <c r="M79" i="1"/>
  <c r="I85" i="1"/>
  <c r="I84" i="1"/>
  <c r="I83" i="1"/>
  <c r="I82" i="1"/>
  <c r="I81" i="1"/>
  <c r="I80" i="1"/>
  <c r="I79" i="1"/>
  <c r="F85" i="1"/>
  <c r="F84" i="1"/>
  <c r="F83" i="1"/>
  <c r="F82" i="1"/>
  <c r="F81" i="1"/>
  <c r="F80" i="1"/>
  <c r="F79" i="1"/>
  <c r="E85" i="1"/>
  <c r="E84" i="1"/>
  <c r="E83" i="1"/>
  <c r="E82" i="1"/>
  <c r="E81" i="1"/>
  <c r="E80" i="1"/>
  <c r="E79" i="1"/>
  <c r="M78" i="1"/>
  <c r="I78" i="1"/>
  <c r="F78" i="1"/>
  <c r="E78" i="1"/>
  <c r="K41" i="3" l="1"/>
  <c r="K16" i="3"/>
  <c r="K25" i="3"/>
  <c r="K33" i="3"/>
  <c r="K45" i="3"/>
  <c r="M34" i="3"/>
  <c r="K14" i="3"/>
  <c r="K23" i="3"/>
  <c r="K31" i="3"/>
  <c r="K39" i="3"/>
  <c r="K43" i="3"/>
  <c r="M8" i="3"/>
  <c r="F81" i="3" s="1"/>
  <c r="M26" i="3"/>
  <c r="K12" i="3"/>
  <c r="K21" i="3"/>
  <c r="K29" i="3"/>
  <c r="K37" i="3"/>
  <c r="K49" i="3"/>
  <c r="M18" i="3"/>
  <c r="F82" i="3" s="1"/>
  <c r="M42" i="3"/>
  <c r="F85" i="3" s="1"/>
  <c r="K10" i="3"/>
  <c r="K19" i="3"/>
  <c r="K27" i="3"/>
  <c r="K35" i="3"/>
  <c r="K47" i="3"/>
  <c r="K88" i="3"/>
  <c r="I34" i="3"/>
  <c r="I8" i="3"/>
  <c r="I42" i="3"/>
  <c r="J8" i="3"/>
  <c r="F83" i="3"/>
  <c r="I18" i="3"/>
  <c r="K17" i="3"/>
  <c r="K15" i="3"/>
  <c r="K13" i="3"/>
  <c r="K11" i="3"/>
  <c r="K9" i="3"/>
  <c r="K24" i="3"/>
  <c r="K22" i="3"/>
  <c r="K20" i="3"/>
  <c r="K18" i="3"/>
  <c r="K32" i="3"/>
  <c r="K30" i="3"/>
  <c r="K28" i="3"/>
  <c r="K26" i="3"/>
  <c r="K40" i="3"/>
  <c r="K38" i="3"/>
  <c r="K36" i="3"/>
  <c r="K34" i="3"/>
  <c r="K50" i="3"/>
  <c r="K48" i="3"/>
  <c r="K46" i="3"/>
  <c r="K44" i="3"/>
  <c r="K42" i="3"/>
  <c r="I26" i="3"/>
  <c r="O51" i="3"/>
  <c r="F84" i="3"/>
  <c r="N51" i="3"/>
  <c r="N67" i="3"/>
  <c r="N59" i="3"/>
  <c r="F75" i="1"/>
  <c r="B75" i="1"/>
  <c r="H59" i="1"/>
  <c r="H60" i="1"/>
  <c r="H61" i="1"/>
  <c r="H62" i="1"/>
  <c r="K62" i="1" s="1"/>
  <c r="H63" i="1"/>
  <c r="H64" i="1"/>
  <c r="H65" i="1"/>
  <c r="H66" i="1"/>
  <c r="K66" i="1" s="1"/>
  <c r="H67" i="1"/>
  <c r="H68" i="1"/>
  <c r="H69" i="1"/>
  <c r="N8" i="1"/>
  <c r="N18" i="1"/>
  <c r="N26" i="1"/>
  <c r="N34" i="1"/>
  <c r="N42" i="1"/>
  <c r="N51" i="1"/>
  <c r="M51" i="1"/>
  <c r="M59" i="1"/>
  <c r="M67" i="1"/>
  <c r="M42" i="1"/>
  <c r="M34" i="1"/>
  <c r="M26" i="1"/>
  <c r="K63" i="1"/>
  <c r="J59" i="1"/>
  <c r="J55" i="1"/>
  <c r="K47" i="1"/>
  <c r="J43" i="1"/>
  <c r="J39" i="1"/>
  <c r="K31" i="1"/>
  <c r="J27" i="1"/>
  <c r="J69" i="1"/>
  <c r="K68" i="1"/>
  <c r="K67" i="1"/>
  <c r="J65" i="1"/>
  <c r="K64" i="1"/>
  <c r="J63" i="1"/>
  <c r="J61" i="1"/>
  <c r="K60" i="1"/>
  <c r="K59" i="1"/>
  <c r="H58" i="1"/>
  <c r="K58" i="1" s="1"/>
  <c r="H57" i="1"/>
  <c r="J57" i="1" s="1"/>
  <c r="H56" i="1"/>
  <c r="K56" i="1" s="1"/>
  <c r="H55" i="1"/>
  <c r="K55" i="1" s="1"/>
  <c r="H54" i="1"/>
  <c r="H53" i="1"/>
  <c r="J53" i="1" s="1"/>
  <c r="H52" i="1"/>
  <c r="K52" i="1" s="1"/>
  <c r="H51" i="1"/>
  <c r="K51" i="1" s="1"/>
  <c r="H50" i="1"/>
  <c r="K50" i="1" s="1"/>
  <c r="H49" i="1"/>
  <c r="J49" i="1" s="1"/>
  <c r="H48" i="1"/>
  <c r="K48" i="1" s="1"/>
  <c r="H47" i="1"/>
  <c r="J47" i="1" s="1"/>
  <c r="H46" i="1"/>
  <c r="K46" i="1" s="1"/>
  <c r="H45" i="1"/>
  <c r="J45" i="1" s="1"/>
  <c r="H44" i="1"/>
  <c r="K44" i="1" s="1"/>
  <c r="H43" i="1"/>
  <c r="K43" i="1" s="1"/>
  <c r="H42" i="1"/>
  <c r="K42" i="1" s="1"/>
  <c r="H41" i="1"/>
  <c r="J41" i="1" s="1"/>
  <c r="H40" i="1"/>
  <c r="K40" i="1" s="1"/>
  <c r="H39" i="1"/>
  <c r="K39" i="1" s="1"/>
  <c r="H38" i="1"/>
  <c r="K38" i="1" s="1"/>
  <c r="H37" i="1"/>
  <c r="J37" i="1" s="1"/>
  <c r="H36" i="1"/>
  <c r="K36" i="1" s="1"/>
  <c r="H35" i="1"/>
  <c r="K35" i="1" s="1"/>
  <c r="H34" i="1"/>
  <c r="K34" i="1" s="1"/>
  <c r="H33" i="1"/>
  <c r="J33" i="1" s="1"/>
  <c r="H32" i="1"/>
  <c r="K32" i="1" s="1"/>
  <c r="H31" i="1"/>
  <c r="J31" i="1" s="1"/>
  <c r="H30" i="1"/>
  <c r="K30" i="1" s="1"/>
  <c r="H29" i="1"/>
  <c r="J29" i="1" s="1"/>
  <c r="H28" i="1"/>
  <c r="K28" i="1" s="1"/>
  <c r="H27" i="1"/>
  <c r="K27" i="1" s="1"/>
  <c r="H26" i="1"/>
  <c r="K26" i="1" s="1"/>
  <c r="J22" i="1"/>
  <c r="J21" i="1"/>
  <c r="M18" i="1"/>
  <c r="H25" i="1"/>
  <c r="K25" i="1" s="1"/>
  <c r="H24" i="1"/>
  <c r="J24" i="1" s="1"/>
  <c r="H23" i="1"/>
  <c r="K23" i="1" s="1"/>
  <c r="H22" i="1"/>
  <c r="K22" i="1" s="1"/>
  <c r="H21" i="1"/>
  <c r="K21" i="1" s="1"/>
  <c r="H20" i="1"/>
  <c r="K20" i="1" s="1"/>
  <c r="H19" i="1"/>
  <c r="K19" i="1" s="1"/>
  <c r="H18" i="1"/>
  <c r="K18" i="1" s="1"/>
  <c r="M8" i="1"/>
  <c r="H9" i="1"/>
  <c r="J9" i="1" s="1"/>
  <c r="H10" i="1"/>
  <c r="J10" i="1" s="1"/>
  <c r="H11" i="1"/>
  <c r="J11" i="1" s="1"/>
  <c r="H12" i="1"/>
  <c r="H13" i="1"/>
  <c r="J13" i="1" s="1"/>
  <c r="H14" i="1"/>
  <c r="J14" i="1" s="1"/>
  <c r="H15" i="1"/>
  <c r="J15" i="1" s="1"/>
  <c r="H16" i="1"/>
  <c r="J16" i="1" s="1"/>
  <c r="H17" i="1"/>
  <c r="J17" i="1" s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8" i="1"/>
  <c r="N34" i="3" l="1"/>
  <c r="N26" i="3"/>
  <c r="E81" i="3"/>
  <c r="I83" i="3"/>
  <c r="I82" i="3"/>
  <c r="I84" i="3"/>
  <c r="I85" i="3"/>
  <c r="I81" i="3"/>
  <c r="N18" i="3"/>
  <c r="E84" i="3"/>
  <c r="E83" i="3"/>
  <c r="E82" i="3"/>
  <c r="E85" i="3"/>
  <c r="N42" i="3"/>
  <c r="P51" i="3"/>
  <c r="K86" i="3" s="1"/>
  <c r="O34" i="3"/>
  <c r="O18" i="3"/>
  <c r="O42" i="3"/>
  <c r="O8" i="3"/>
  <c r="O26" i="3"/>
  <c r="N8" i="3"/>
  <c r="J35" i="1"/>
  <c r="J67" i="1"/>
  <c r="J51" i="1"/>
  <c r="O67" i="1"/>
  <c r="O8" i="1"/>
  <c r="O34" i="1"/>
  <c r="O51" i="1"/>
  <c r="O18" i="1"/>
  <c r="I59" i="1"/>
  <c r="O26" i="1"/>
  <c r="O42" i="1"/>
  <c r="O59" i="1"/>
  <c r="J18" i="1"/>
  <c r="K9" i="1"/>
  <c r="K24" i="1"/>
  <c r="K29" i="1"/>
  <c r="K33" i="1"/>
  <c r="K37" i="1"/>
  <c r="K41" i="1"/>
  <c r="K45" i="1"/>
  <c r="K49" i="1"/>
  <c r="K53" i="1"/>
  <c r="K57" i="1"/>
  <c r="K61" i="1"/>
  <c r="K65" i="1"/>
  <c r="K69" i="1"/>
  <c r="N67" i="1" s="1"/>
  <c r="K17" i="1"/>
  <c r="J20" i="1"/>
  <c r="J25" i="1"/>
  <c r="I51" i="1"/>
  <c r="J26" i="1"/>
  <c r="J28" i="1"/>
  <c r="J30" i="1"/>
  <c r="J32" i="1"/>
  <c r="J34" i="1"/>
  <c r="J36" i="1"/>
  <c r="J38" i="1"/>
  <c r="J40" i="1"/>
  <c r="J42" i="1"/>
  <c r="J44" i="1"/>
  <c r="J46" i="1"/>
  <c r="J48" i="1"/>
  <c r="J50" i="1"/>
  <c r="J52" i="1"/>
  <c r="J54" i="1"/>
  <c r="J56" i="1"/>
  <c r="J58" i="1"/>
  <c r="J60" i="1"/>
  <c r="J62" i="1"/>
  <c r="J64" i="1"/>
  <c r="J66" i="1"/>
  <c r="J68" i="1"/>
  <c r="K14" i="1"/>
  <c r="I18" i="1"/>
  <c r="K54" i="1"/>
  <c r="K10" i="1"/>
  <c r="I34" i="1"/>
  <c r="I26" i="1"/>
  <c r="I42" i="1"/>
  <c r="J23" i="1"/>
  <c r="J19" i="1"/>
  <c r="K13" i="1"/>
  <c r="K16" i="1"/>
  <c r="K12" i="1"/>
  <c r="K15" i="1"/>
  <c r="K11" i="1"/>
  <c r="J12" i="1"/>
  <c r="H8" i="1"/>
  <c r="Q85" i="3" l="1"/>
  <c r="Q86" i="3" s="1"/>
  <c r="P42" i="3"/>
  <c r="P26" i="3"/>
  <c r="P8" i="3"/>
  <c r="K81" i="3" s="1"/>
  <c r="P18" i="3"/>
  <c r="P34" i="3"/>
  <c r="F73" i="3"/>
  <c r="Q82" i="3" s="1"/>
  <c r="Q83" i="3" s="1"/>
  <c r="O87" i="3" s="1"/>
  <c r="M81" i="3"/>
  <c r="M86" i="3"/>
  <c r="M87" i="3"/>
  <c r="N59" i="1"/>
  <c r="F73" i="1" s="1"/>
  <c r="J8" i="1"/>
  <c r="K8" i="1"/>
  <c r="I8" i="1"/>
  <c r="M84" i="3" l="1"/>
  <c r="K84" i="3"/>
  <c r="M82" i="3"/>
  <c r="K82" i="3"/>
  <c r="M83" i="3"/>
  <c r="K83" i="3"/>
  <c r="M85" i="3"/>
  <c r="K85" i="3"/>
  <c r="Q84" i="3" s="1"/>
  <c r="F75" i="3"/>
  <c r="B75" i="3"/>
  <c r="F74" i="3"/>
  <c r="B74" i="1"/>
  <c r="F74" i="1"/>
  <c r="P26" i="1"/>
  <c r="P8" i="1"/>
  <c r="P42" i="1"/>
  <c r="P18" i="1"/>
  <c r="P34" i="1"/>
  <c r="P59" i="1"/>
  <c r="P51" i="1"/>
  <c r="Q87" i="3" l="1"/>
  <c r="Q88" i="3"/>
  <c r="O89" i="3" s="1"/>
  <c r="Q89" i="3" l="1"/>
</calcChain>
</file>

<file path=xl/sharedStrings.xml><?xml version="1.0" encoding="utf-8"?>
<sst xmlns="http://schemas.openxmlformats.org/spreadsheetml/2006/main" count="470" uniqueCount="221">
  <si>
    <t>GRADE TRACKER</t>
  </si>
  <si>
    <t>#</t>
  </si>
  <si>
    <t>Year</t>
  </si>
  <si>
    <t>Semester</t>
  </si>
  <si>
    <t>Subject</t>
  </si>
  <si>
    <t>Internal Marks</t>
  </si>
  <si>
    <t>Exam Marks</t>
  </si>
  <si>
    <t>Letter Grade</t>
  </si>
  <si>
    <t>Grade Points</t>
  </si>
  <si>
    <t>Performance</t>
  </si>
  <si>
    <t>O</t>
  </si>
  <si>
    <t>Outstanding</t>
  </si>
  <si>
    <t>A+</t>
  </si>
  <si>
    <t>Excellent</t>
  </si>
  <si>
    <t>A</t>
  </si>
  <si>
    <t>Very Good</t>
  </si>
  <si>
    <t>B+</t>
  </si>
  <si>
    <t>Good</t>
  </si>
  <si>
    <t>B</t>
  </si>
  <si>
    <t>Average</t>
  </si>
  <si>
    <t>RA</t>
  </si>
  <si>
    <t>Reappearance Registration</t>
  </si>
  <si>
    <t>-</t>
  </si>
  <si>
    <t>SA</t>
  </si>
  <si>
    <t>Shortage of Attendance</t>
  </si>
  <si>
    <t>W</t>
  </si>
  <si>
    <t>Withdrawal</t>
  </si>
  <si>
    <t>Marks Range</t>
  </si>
  <si>
    <t>Total Marks</t>
  </si>
  <si>
    <t>Percentage of marks</t>
  </si>
  <si>
    <t>Grade Points (A)</t>
  </si>
  <si>
    <t>Credit for the subject (B)</t>
  </si>
  <si>
    <t>Sum of the credits for the semester ( C)</t>
  </si>
  <si>
    <t>GPA for the semester
[D=Σ(A*B)/C]</t>
  </si>
  <si>
    <t>Grade Points Average</t>
  </si>
  <si>
    <t>Cumulative Grade Points Average</t>
  </si>
  <si>
    <t>GPA =</t>
  </si>
  <si>
    <t>CGPA =</t>
  </si>
  <si>
    <t>Remarks</t>
  </si>
  <si>
    <t>Name of the Student:</t>
  </si>
  <si>
    <t>Course code</t>
  </si>
  <si>
    <t>Course Code</t>
  </si>
  <si>
    <t>Course Title</t>
  </si>
  <si>
    <t>L</t>
  </si>
  <si>
    <t>T</t>
  </si>
  <si>
    <t>P</t>
  </si>
  <si>
    <t>C</t>
  </si>
  <si>
    <t>Theory</t>
  </si>
  <si>
    <t>HS8151</t>
  </si>
  <si>
    <t>Technical English I</t>
  </si>
  <si>
    <t>MA8151</t>
  </si>
  <si>
    <t>Mathematics I</t>
  </si>
  <si>
    <t>PH8151</t>
  </si>
  <si>
    <t>Engineering Physics</t>
  </si>
  <si>
    <t>CY8151</t>
  </si>
  <si>
    <t>Engineering Chemistry</t>
  </si>
  <si>
    <t>GE8152</t>
  </si>
  <si>
    <t>Engineering Graphics</t>
  </si>
  <si>
    <t>GE8151</t>
  </si>
  <si>
    <t>Computing Techniques</t>
  </si>
  <si>
    <t>Practical</t>
  </si>
  <si>
    <t>PH8161</t>
  </si>
  <si>
    <t>Physics Laboratory</t>
  </si>
  <si>
    <t>CY8161</t>
  </si>
  <si>
    <t>Chemistry Laboratory</t>
  </si>
  <si>
    <t>GE8162</t>
  </si>
  <si>
    <t>Engineering Practices Laboratory</t>
  </si>
  <si>
    <t>GE8161</t>
  </si>
  <si>
    <t>Computer Practice Laboratory</t>
  </si>
  <si>
    <t>Category</t>
  </si>
  <si>
    <t>HS8251</t>
  </si>
  <si>
    <t>Technical English II</t>
  </si>
  <si>
    <t>MA8251</t>
  </si>
  <si>
    <t>Mathematics II</t>
  </si>
  <si>
    <t>PH8253</t>
  </si>
  <si>
    <t>Physics for Information Science</t>
  </si>
  <si>
    <t>CS8202</t>
  </si>
  <si>
    <t>Principles of Computer Engineering</t>
  </si>
  <si>
    <t>CS8203</t>
  </si>
  <si>
    <t>Programming using C++</t>
  </si>
  <si>
    <t>CS8201</t>
  </si>
  <si>
    <t>Digital Principles and System Design</t>
  </si>
  <si>
    <t>CS8212</t>
  </si>
  <si>
    <t>Programming Laboratory </t>
  </si>
  <si>
    <t>CS8211</t>
  </si>
  <si>
    <t>Digital Laboratory</t>
  </si>
  <si>
    <t>MA8351</t>
  </si>
  <si>
    <t>Algebra &amp; Number Theory</t>
  </si>
  <si>
    <t>EC8303</t>
  </si>
  <si>
    <t>Electronic Devices and Circuits for Computer Engineers</t>
  </si>
  <si>
    <t>CS8302</t>
  </si>
  <si>
    <t>Data Structures</t>
  </si>
  <si>
    <t>CS8303</t>
  </si>
  <si>
    <t>Database Management Systems</t>
  </si>
  <si>
    <t>GE8351</t>
  </si>
  <si>
    <t>Environmental Science &amp; Engineering</t>
  </si>
  <si>
    <t>CS8301</t>
  </si>
  <si>
    <t>Computer Architecture</t>
  </si>
  <si>
    <t>CS8312</t>
  </si>
  <si>
    <t>  Database Management Systems Laboratory</t>
  </si>
  <si>
    <t>CS8311</t>
  </si>
  <si>
    <t>Data Structures Laboratory</t>
  </si>
  <si>
    <t>EE8407</t>
  </si>
  <si>
    <t>Electrical Engineering and Control Systems</t>
  </si>
  <si>
    <t>CS8401</t>
  </si>
  <si>
    <t>Design &amp; Analysis of Algorithms</t>
  </si>
  <si>
    <t>CS8451</t>
  </si>
  <si>
    <t>Operating Systems</t>
  </si>
  <si>
    <t>CS8402</t>
  </si>
  <si>
    <t>Java &amp; Internet Programming</t>
  </si>
  <si>
    <t>MA8354</t>
  </si>
  <si>
    <t>  Probability &amp; Queueing Theory</t>
  </si>
  <si>
    <t>CS8452</t>
  </si>
  <si>
    <t>Software Engineering</t>
  </si>
  <si>
    <t>CS8411</t>
  </si>
  <si>
    <t>Java &amp; Internet Programming Laboratory</t>
  </si>
  <si>
    <t>CS8461</t>
  </si>
  <si>
    <t>Operating Systems Laboratory</t>
  </si>
  <si>
    <t>CS8551</t>
  </si>
  <si>
    <t>Object Oriented Analysis &amp; Design</t>
  </si>
  <si>
    <t>CS8504</t>
  </si>
  <si>
    <t>Theory of Computation</t>
  </si>
  <si>
    <t>CS8503</t>
  </si>
  <si>
    <t>System Software Internals</t>
  </si>
  <si>
    <t>CS8502</t>
  </si>
  <si>
    <t>Microprocessors &amp; Micro Controllers</t>
  </si>
  <si>
    <t>CS8501</t>
  </si>
  <si>
    <t>Data Communication &amp; Computer Networks</t>
  </si>
  <si>
    <t>HS8561</t>
  </si>
  <si>
    <t>Employability Skills</t>
  </si>
  <si>
    <t>CS8512</t>
  </si>
  <si>
    <t>Communications &amp; Networks Laboratory</t>
  </si>
  <si>
    <t>CS8511</t>
  </si>
  <si>
    <t>Case Tools Laboratory</t>
  </si>
  <si>
    <t>CS8513</t>
  </si>
  <si>
    <t>Microprocessors Laboratory</t>
  </si>
  <si>
    <t>CS8601</t>
  </si>
  <si>
    <t>Artificial Intelligence</t>
  </si>
  <si>
    <t>CS8651</t>
  </si>
  <si>
    <t>Digital Signal Processing - Algorithms &amp; Applications</t>
  </si>
  <si>
    <t>CS8603</t>
  </si>
  <si>
    <t>Computer Graphics &amp; Multimedia</t>
  </si>
  <si>
    <t>CS8602</t>
  </si>
  <si>
    <t>Compiler Design</t>
  </si>
  <si>
    <t>CS8604</t>
  </si>
  <si>
    <t>Programming Paradigms</t>
  </si>
  <si>
    <t>XXXXXX</t>
  </si>
  <si>
    <t>Elective I</t>
  </si>
  <si>
    <t>CS8612</t>
  </si>
  <si>
    <t>Creativity &amp; Innovative Project</t>
  </si>
  <si>
    <t>CS8611</t>
  </si>
  <si>
    <t>Computer Graphics &amp; Multimedia Laboratory</t>
  </si>
  <si>
    <t>CS8701</t>
  </si>
  <si>
    <t>Mobile &amp; Pervasive Computing</t>
  </si>
  <si>
    <t>CS8703</t>
  </si>
  <si>
    <t>Security in Computing</t>
  </si>
  <si>
    <t>MG8653</t>
  </si>
  <si>
    <t>Principles of Management</t>
  </si>
  <si>
    <t>CS8702</t>
  </si>
  <si>
    <t>Parallel Programming</t>
  </si>
  <si>
    <t>Elective II</t>
  </si>
  <si>
    <t>Elective III</t>
  </si>
  <si>
    <t>CS8712</t>
  </si>
  <si>
    <t>Software Development Laboratory</t>
  </si>
  <si>
    <t>CS8711</t>
  </si>
  <si>
    <t>Mobile Application Development Laboratory</t>
  </si>
  <si>
    <t>Elective IV</t>
  </si>
  <si>
    <t>Elective V</t>
  </si>
  <si>
    <t>CS8811</t>
  </si>
  <si>
    <t>Project Work</t>
  </si>
  <si>
    <t>Total Credits to be earned for the degree: 180</t>
  </si>
  <si>
    <t>Theory/ Practical</t>
  </si>
  <si>
    <t>L - Lecture</t>
  </si>
  <si>
    <t>T - Tutorial</t>
  </si>
  <si>
    <t>P - Practical</t>
  </si>
  <si>
    <t>C - Credit</t>
  </si>
  <si>
    <t>Out of : 50</t>
  </si>
  <si>
    <t>Out of :50</t>
  </si>
  <si>
    <t>Branch:</t>
  </si>
  <si>
    <t>Computer Science</t>
  </si>
  <si>
    <t>College:</t>
  </si>
  <si>
    <t>Anna University</t>
  </si>
  <si>
    <t>Credit for all the Semesters (Cumulative) (F)</t>
  </si>
  <si>
    <t>Out of :100</t>
  </si>
  <si>
    <t>Grade Rating:</t>
  </si>
  <si>
    <t>a)</t>
  </si>
  <si>
    <t>RESULTS</t>
  </si>
  <si>
    <t>Current GPA:</t>
  </si>
  <si>
    <t xml:space="preserve">b) </t>
  </si>
  <si>
    <t>DISTRIBUTION OF GRADES THROUGH THE SEMESTER:</t>
  </si>
  <si>
    <t>CGPA at the end of the Semester
=Σ(D*C)/F</t>
  </si>
  <si>
    <t>GPA</t>
  </si>
  <si>
    <t>CGPA</t>
  </si>
  <si>
    <t>Credits</t>
  </si>
  <si>
    <t>Point Grade</t>
  </si>
  <si>
    <t>1St</t>
  </si>
  <si>
    <t>2nd</t>
  </si>
  <si>
    <t>3rd</t>
  </si>
  <si>
    <t>4th</t>
  </si>
  <si>
    <t>5th</t>
  </si>
  <si>
    <t>6th</t>
  </si>
  <si>
    <t>7th</t>
  </si>
  <si>
    <t>8th</t>
  </si>
  <si>
    <t>Number of Semesters completed</t>
  </si>
  <si>
    <t>Required CGPA</t>
  </si>
  <si>
    <t>Total credits</t>
  </si>
  <si>
    <t>Number of credits</t>
  </si>
  <si>
    <t>Number of semesters completed</t>
  </si>
  <si>
    <t>Number of semesters pending</t>
  </si>
  <si>
    <t>CGA* Credits sum</t>
  </si>
  <si>
    <t>Cum Credicts</t>
  </si>
  <si>
    <t>Max credits</t>
  </si>
  <si>
    <t>Credits pending</t>
  </si>
  <si>
    <t>In case of required is more than 10</t>
  </si>
  <si>
    <t>Enter the Required CGPA to be obtained at the end of 8th Semester</t>
  </si>
  <si>
    <t>Change in GPA if earn Good grades in the remaining courses:</t>
  </si>
  <si>
    <t>Jayashree</t>
  </si>
  <si>
    <t>Conditional formatting to highlight lower grades:</t>
  </si>
  <si>
    <t>Refer Column K in spread sheet</t>
  </si>
  <si>
    <t>C)</t>
  </si>
  <si>
    <t>CGPA at the end of each Semester
=Σ(D*C)/F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</si>
</sst>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1" formatCode="0.0000"/>
  </numFmts>
  <fonts count="28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10"/>
      <color rgb="FFFFFFFF"/>
      <name val="Verdana"/>
      <family val="2"/>
    </font>
    <font>
      <b/>
      <sz val="10"/>
      <color rgb="FF2C3E50"/>
      <name val="Verdana"/>
      <family val="2"/>
    </font>
    <font>
      <u/>
      <sz val="10"/>
      <color theme="10"/>
      <name val="Verdana"/>
      <family val="2"/>
    </font>
    <font>
      <sz val="10"/>
      <color rgb="FF2C3E50"/>
      <name val="Verdana"/>
      <family val="2"/>
    </font>
    <font>
      <b/>
      <u/>
      <sz val="10"/>
      <color rgb="FF1D9D74"/>
      <name val="Verdana"/>
      <family val="2"/>
    </font>
    <font>
      <b/>
      <sz val="10"/>
      <color theme="1"/>
      <name val="Verdana"/>
      <family val="2"/>
    </font>
    <font>
      <b/>
      <sz val="22"/>
      <color theme="1"/>
      <name val="Gill Sans MT"/>
      <family val="2"/>
    </font>
    <font>
      <sz val="10"/>
      <color theme="1"/>
      <name val="Gill Sans MT"/>
      <family val="2"/>
    </font>
    <font>
      <b/>
      <sz val="11"/>
      <color theme="1"/>
      <name val="Gill Sans MT"/>
      <family val="2"/>
    </font>
    <font>
      <sz val="10"/>
      <color rgb="FF111827"/>
      <name val="Gill Sans MT"/>
      <family val="2"/>
    </font>
    <font>
      <b/>
      <sz val="10"/>
      <color theme="0"/>
      <name val="Gill Sans MT"/>
      <family val="2"/>
    </font>
    <font>
      <sz val="10"/>
      <color rgb="FF374151"/>
      <name val="Gill Sans MT"/>
      <family val="2"/>
    </font>
    <font>
      <b/>
      <sz val="12"/>
      <color theme="1"/>
      <name val="Gill Sans MT"/>
      <family val="2"/>
    </font>
    <font>
      <b/>
      <sz val="10"/>
      <color theme="1"/>
      <name val="Gill Sans MT"/>
      <family val="2"/>
    </font>
    <font>
      <b/>
      <sz val="10"/>
      <color rgb="FF374151"/>
      <name val="Gill Sans MT"/>
      <family val="2"/>
    </font>
    <font>
      <b/>
      <sz val="10"/>
      <color rgb="FFFFFF00"/>
      <name val="Gill Sans MT"/>
      <family val="2"/>
    </font>
    <font>
      <b/>
      <sz val="16"/>
      <color theme="1"/>
      <name val="Gill Sans MT"/>
      <family val="2"/>
    </font>
    <font>
      <sz val="11"/>
      <color theme="1"/>
      <name val="Gill Sans MT"/>
      <family val="2"/>
    </font>
    <font>
      <b/>
      <sz val="14"/>
      <color theme="1"/>
      <name val="Gill Sans MT"/>
      <family val="2"/>
    </font>
    <font>
      <sz val="11"/>
      <color rgb="FF111827"/>
      <name val="Gill Sans MT"/>
      <family val="2"/>
    </font>
    <font>
      <b/>
      <sz val="11"/>
      <color theme="0"/>
      <name val="Gill Sans MT"/>
      <family val="2"/>
    </font>
    <font>
      <sz val="11"/>
      <color rgb="FF374151"/>
      <name val="Gill Sans MT"/>
      <family val="2"/>
    </font>
    <font>
      <b/>
      <sz val="11"/>
      <color rgb="FF374151"/>
      <name val="Gill Sans MT"/>
      <family val="2"/>
    </font>
    <font>
      <b/>
      <sz val="11"/>
      <color rgb="FFFFFF00"/>
      <name val="Gill Sans MT"/>
      <family val="2"/>
    </font>
    <font>
      <b/>
      <sz val="20"/>
      <color theme="1"/>
      <name val="Gill Sans MT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thin">
        <color indexed="64"/>
      </right>
      <top style="thin">
        <color rgb="FF00206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0">
    <xf numFmtId="0" fontId="0" fillId="0" borderId="0" xfId="0"/>
    <xf numFmtId="0" fontId="3" fillId="6" borderId="0" xfId="0" applyFont="1" applyFill="1" applyAlignment="1">
      <alignment horizontal="left" wrapText="1"/>
    </xf>
    <xf numFmtId="0" fontId="1" fillId="0" borderId="0" xfId="0" applyFont="1"/>
    <xf numFmtId="0" fontId="4" fillId="7" borderId="0" xfId="0" applyFont="1" applyFill="1" applyAlignment="1">
      <alignment vertical="top" wrapText="1"/>
    </xf>
    <xf numFmtId="0" fontId="1" fillId="0" borderId="0" xfId="0" applyFont="1" applyAlignment="1">
      <alignment wrapText="1"/>
    </xf>
    <xf numFmtId="0" fontId="4" fillId="5" borderId="0" xfId="0" applyFont="1" applyFill="1" applyAlignment="1">
      <alignment vertical="top" wrapText="1"/>
    </xf>
    <xf numFmtId="0" fontId="5" fillId="5" borderId="0" xfId="1" applyFont="1" applyFill="1" applyAlignment="1">
      <alignment vertical="top" wrapText="1"/>
    </xf>
    <xf numFmtId="0" fontId="4" fillId="7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5" fillId="7" borderId="0" xfId="1" applyFont="1" applyFill="1" applyAlignment="1">
      <alignment vertical="top" wrapText="1"/>
    </xf>
    <xf numFmtId="0" fontId="6" fillId="7" borderId="0" xfId="0" applyFont="1" applyFill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3" fillId="6" borderId="0" xfId="0" applyFont="1" applyFill="1" applyAlignment="1">
      <alignment horizontal="center" wrapText="1"/>
    </xf>
    <xf numFmtId="0" fontId="4" fillId="7" borderId="0" xfId="0" applyFont="1" applyFill="1" applyAlignment="1">
      <alignment horizontal="center" vertical="top" wrapText="1"/>
    </xf>
    <xf numFmtId="0" fontId="4" fillId="5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4" fillId="7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164" fontId="10" fillId="0" borderId="5" xfId="0" applyNumberFormat="1" applyFont="1" applyBorder="1" applyAlignment="1">
      <alignment horizontal="center" vertical="center" wrapText="1"/>
    </xf>
    <xf numFmtId="0" fontId="10" fillId="0" borderId="5" xfId="0" quotePrefix="1" applyFont="1" applyBorder="1" applyAlignment="1">
      <alignment horizontal="center" vertical="center" wrapText="1"/>
    </xf>
    <xf numFmtId="1" fontId="10" fillId="0" borderId="5" xfId="0" quotePrefix="1" applyNumberFormat="1" applyFont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0" fontId="10" fillId="15" borderId="5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left"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6" fillId="16" borderId="21" xfId="0" applyFont="1" applyFill="1" applyBorder="1" applyAlignment="1">
      <alignment horizontal="center" vertical="center"/>
    </xf>
    <xf numFmtId="0" fontId="16" fillId="16" borderId="22" xfId="0" applyFont="1" applyFill="1" applyBorder="1" applyAlignment="1">
      <alignment horizontal="center" vertical="center"/>
    </xf>
    <xf numFmtId="0" fontId="16" fillId="16" borderId="23" xfId="0" applyFont="1" applyFill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6" fillId="16" borderId="5" xfId="0" applyFont="1" applyFill="1" applyBorder="1" applyAlignment="1">
      <alignment horizontal="center" vertical="center" wrapText="1"/>
    </xf>
    <xf numFmtId="164" fontId="15" fillId="4" borderId="5" xfId="0" applyNumberFormat="1" applyFont="1" applyFill="1" applyBorder="1" applyAlignment="1">
      <alignment horizontal="center" vertical="center" wrapText="1"/>
    </xf>
    <xf numFmtId="164" fontId="15" fillId="4" borderId="7" xfId="0" applyNumberFormat="1" applyFont="1" applyFill="1" applyBorder="1" applyAlignment="1">
      <alignment horizontal="center" vertical="center" wrapText="1"/>
    </xf>
    <xf numFmtId="164" fontId="15" fillId="4" borderId="9" xfId="0" applyNumberFormat="1" applyFont="1" applyFill="1" applyBorder="1" applyAlignment="1">
      <alignment horizontal="center" vertical="center" wrapText="1"/>
    </xf>
    <xf numFmtId="164" fontId="15" fillId="4" borderId="8" xfId="0" applyNumberFormat="1" applyFont="1" applyFill="1" applyBorder="1" applyAlignment="1">
      <alignment horizontal="center" vertical="center" wrapText="1"/>
    </xf>
    <xf numFmtId="164" fontId="15" fillId="0" borderId="7" xfId="0" applyNumberFormat="1" applyFont="1" applyBorder="1" applyAlignment="1">
      <alignment horizontal="center" vertical="center" wrapText="1"/>
    </xf>
    <xf numFmtId="164" fontId="15" fillId="0" borderId="9" xfId="0" applyNumberFormat="1" applyFont="1" applyBorder="1" applyAlignment="1">
      <alignment horizontal="center" vertical="center" wrapText="1"/>
    </xf>
    <xf numFmtId="164" fontId="15" fillId="0" borderId="8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164" fontId="15" fillId="3" borderId="7" xfId="0" applyNumberFormat="1" applyFont="1" applyFill="1" applyBorder="1" applyAlignment="1">
      <alignment horizontal="center" vertical="center" wrapText="1"/>
    </xf>
    <xf numFmtId="164" fontId="15" fillId="3" borderId="9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164" fontId="15" fillId="3" borderId="5" xfId="0" applyNumberFormat="1" applyFont="1" applyFill="1" applyBorder="1" applyAlignment="1">
      <alignment horizontal="center" vertical="center" wrapText="1"/>
    </xf>
    <xf numFmtId="164" fontId="15" fillId="3" borderId="8" xfId="0" applyNumberFormat="1" applyFont="1" applyFill="1" applyBorder="1" applyAlignment="1">
      <alignment horizontal="center" vertical="center" wrapText="1"/>
    </xf>
    <xf numFmtId="164" fontId="10" fillId="0" borderId="7" xfId="0" applyNumberFormat="1" applyFont="1" applyBorder="1" applyAlignment="1">
      <alignment horizontal="center" vertical="center" wrapText="1"/>
    </xf>
    <xf numFmtId="164" fontId="10" fillId="0" borderId="9" xfId="0" applyNumberFormat="1" applyFont="1" applyBorder="1" applyAlignment="1">
      <alignment horizontal="center" vertical="center" wrapText="1"/>
    </xf>
    <xf numFmtId="164" fontId="10" fillId="0" borderId="8" xfId="0" applyNumberFormat="1" applyFont="1" applyBorder="1" applyAlignment="1">
      <alignment horizontal="center" vertical="center" wrapText="1"/>
    </xf>
    <xf numFmtId="164" fontId="10" fillId="0" borderId="5" xfId="0" applyNumberFormat="1" applyFont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0" fillId="15" borderId="7" xfId="0" applyFont="1" applyFill="1" applyBorder="1" applyAlignment="1">
      <alignment horizontal="center" vertical="center" wrapText="1"/>
    </xf>
    <xf numFmtId="0" fontId="10" fillId="15" borderId="8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15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164" fontId="21" fillId="0" borderId="5" xfId="0" applyNumberFormat="1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0" xfId="0" applyFont="1" applyBorder="1" applyAlignment="1">
      <alignment vertical="center"/>
    </xf>
    <xf numFmtId="0" fontId="20" fillId="0" borderId="0" xfId="0" applyFont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20" fillId="15" borderId="5" xfId="0" applyFont="1" applyFill="1" applyBorder="1" applyAlignment="1">
      <alignment horizontal="center" vertical="center" wrapText="1"/>
    </xf>
    <xf numFmtId="0" fontId="20" fillId="15" borderId="5" xfId="0" applyFont="1" applyFill="1" applyBorder="1" applyAlignment="1">
      <alignment horizontal="center" vertical="center" wrapText="1"/>
    </xf>
    <xf numFmtId="0" fontId="20" fillId="15" borderId="7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0" fillId="15" borderId="8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left" vertical="center" wrapText="1"/>
    </xf>
    <xf numFmtId="164" fontId="20" fillId="0" borderId="5" xfId="0" applyNumberFormat="1" applyFont="1" applyBorder="1" applyAlignment="1">
      <alignment horizontal="center" vertical="center" wrapText="1"/>
    </xf>
    <xf numFmtId="0" fontId="20" fillId="0" borderId="5" xfId="0" quotePrefix="1" applyFont="1" applyBorder="1" applyAlignment="1">
      <alignment horizontal="center" vertical="center" wrapText="1"/>
    </xf>
    <xf numFmtId="1" fontId="20" fillId="0" borderId="5" xfId="0" quotePrefix="1" applyNumberFormat="1" applyFont="1" applyBorder="1" applyAlignment="1">
      <alignment horizontal="center" vertical="center" wrapText="1"/>
    </xf>
    <xf numFmtId="164" fontId="11" fillId="3" borderId="5" xfId="0" applyNumberFormat="1" applyFont="1" applyFill="1" applyBorder="1" applyAlignment="1">
      <alignment horizontal="center" vertical="center" wrapText="1"/>
    </xf>
    <xf numFmtId="164" fontId="11" fillId="0" borderId="5" xfId="0" applyNumberFormat="1" applyFont="1" applyBorder="1" applyAlignment="1">
      <alignment horizontal="center" vertical="center" wrapText="1"/>
    </xf>
    <xf numFmtId="164" fontId="11" fillId="4" borderId="5" xfId="0" applyNumberFormat="1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25" fillId="14" borderId="1" xfId="0" applyFont="1" applyFill="1" applyBorder="1" applyAlignment="1">
      <alignment horizontal="center" vertical="center" wrapText="1"/>
    </xf>
    <xf numFmtId="0" fontId="26" fillId="12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164" fontId="20" fillId="0" borderId="7" xfId="0" applyNumberFormat="1" applyFont="1" applyBorder="1" applyAlignment="1">
      <alignment horizontal="center" vertical="center" wrapText="1"/>
    </xf>
    <xf numFmtId="164" fontId="11" fillId="3" borderId="7" xfId="0" applyNumberFormat="1" applyFont="1" applyFill="1" applyBorder="1" applyAlignment="1">
      <alignment horizontal="center" vertical="center" wrapText="1"/>
    </xf>
    <xf numFmtId="164" fontId="11" fillId="0" borderId="7" xfId="0" applyNumberFormat="1" applyFont="1" applyBorder="1" applyAlignment="1">
      <alignment horizontal="center" vertical="center" wrapText="1"/>
    </xf>
    <xf numFmtId="164" fontId="11" fillId="4" borderId="7" xfId="0" applyNumberFormat="1" applyFont="1" applyFill="1" applyBorder="1" applyAlignment="1">
      <alignment horizontal="center" vertical="center" wrapText="1"/>
    </xf>
    <xf numFmtId="164" fontId="20" fillId="0" borderId="9" xfId="0" applyNumberFormat="1" applyFont="1" applyBorder="1" applyAlignment="1">
      <alignment horizontal="center" vertical="center" wrapText="1"/>
    </xf>
    <xf numFmtId="164" fontId="11" fillId="3" borderId="9" xfId="0" applyNumberFormat="1" applyFont="1" applyFill="1" applyBorder="1" applyAlignment="1">
      <alignment horizontal="center" vertical="center" wrapText="1"/>
    </xf>
    <xf numFmtId="164" fontId="11" fillId="0" borderId="9" xfId="0" applyNumberFormat="1" applyFont="1" applyBorder="1" applyAlignment="1">
      <alignment horizontal="center" vertical="center" wrapText="1"/>
    </xf>
    <xf numFmtId="164" fontId="11" fillId="4" borderId="9" xfId="0" applyNumberFormat="1" applyFont="1" applyFill="1" applyBorder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 wrapText="1"/>
    </xf>
    <xf numFmtId="0" fontId="0" fillId="0" borderId="0" xfId="0" applyFont="1"/>
    <xf numFmtId="164" fontId="20" fillId="0" borderId="8" xfId="0" applyNumberFormat="1" applyFont="1" applyBorder="1" applyAlignment="1">
      <alignment horizontal="center" vertical="center" wrapText="1"/>
    </xf>
    <xf numFmtId="164" fontId="11" fillId="3" borderId="8" xfId="0" applyNumberFormat="1" applyFont="1" applyFill="1" applyBorder="1" applyAlignment="1">
      <alignment horizontal="center" vertical="center" wrapText="1"/>
    </xf>
    <xf numFmtId="164" fontId="11" fillId="0" borderId="8" xfId="0" applyNumberFormat="1" applyFont="1" applyBorder="1" applyAlignment="1">
      <alignment horizontal="center" vertical="center" wrapText="1"/>
    </xf>
    <xf numFmtId="164" fontId="11" fillId="4" borderId="8" xfId="0" applyNumberFormat="1" applyFont="1" applyFill="1" applyBorder="1" applyAlignment="1">
      <alignment horizontal="center" vertical="center" wrapText="1"/>
    </xf>
    <xf numFmtId="164" fontId="20" fillId="0" borderId="24" xfId="0" applyNumberFormat="1" applyFont="1" applyBorder="1" applyAlignment="1">
      <alignment horizontal="center" vertical="center" wrapText="1"/>
    </xf>
    <xf numFmtId="164" fontId="20" fillId="0" borderId="25" xfId="0" applyNumberFormat="1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11" fillId="16" borderId="5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11" fillId="16" borderId="21" xfId="0" applyFont="1" applyFill="1" applyBorder="1" applyAlignment="1">
      <alignment horizontal="center" vertical="center"/>
    </xf>
    <xf numFmtId="0" fontId="11" fillId="16" borderId="22" xfId="0" applyFont="1" applyFill="1" applyBorder="1" applyAlignment="1">
      <alignment horizontal="center" vertical="center"/>
    </xf>
    <xf numFmtId="0" fontId="11" fillId="16" borderId="23" xfId="0" applyFont="1" applyFill="1" applyBorder="1" applyAlignment="1">
      <alignment horizontal="center" vertical="center"/>
    </xf>
    <xf numFmtId="0" fontId="20" fillId="0" borderId="0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0" xfId="0" applyFont="1" applyBorder="1" applyAlignment="1">
      <alignment horizontal="left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164" fontId="11" fillId="17" borderId="4" xfId="0" applyNumberFormat="1" applyFont="1" applyFill="1" applyBorder="1" applyAlignment="1">
      <alignment horizontal="center" vertical="center" wrapText="1"/>
    </xf>
    <xf numFmtId="164" fontId="20" fillId="0" borderId="5" xfId="0" applyNumberFormat="1" applyFont="1" applyBorder="1" applyAlignment="1">
      <alignment horizontal="center" vertical="center" wrapText="1"/>
    </xf>
    <xf numFmtId="164" fontId="20" fillId="0" borderId="21" xfId="0" applyNumberFormat="1" applyFont="1" applyBorder="1" applyAlignment="1">
      <alignment horizontal="center" vertical="center" wrapText="1"/>
    </xf>
    <xf numFmtId="164" fontId="20" fillId="0" borderId="23" xfId="0" applyNumberFormat="1" applyFont="1" applyBorder="1" applyAlignment="1">
      <alignment horizontal="center" vertical="center" wrapText="1"/>
    </xf>
    <xf numFmtId="164" fontId="20" fillId="0" borderId="26" xfId="0" applyNumberFormat="1" applyFont="1" applyBorder="1" applyAlignment="1">
      <alignment horizontal="center" vertical="center" wrapText="1"/>
    </xf>
    <xf numFmtId="164" fontId="20" fillId="0" borderId="4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164" fontId="20" fillId="0" borderId="10" xfId="0" applyNumberFormat="1" applyFont="1" applyBorder="1" applyAlignment="1">
      <alignment horizontal="center" vertical="center" wrapText="1"/>
    </xf>
    <xf numFmtId="164" fontId="20" fillId="0" borderId="27" xfId="0" applyNumberFormat="1" applyFont="1" applyBorder="1" applyAlignment="1">
      <alignment horizontal="center" vertical="center" wrapText="1"/>
    </xf>
    <xf numFmtId="1" fontId="20" fillId="0" borderId="4" xfId="0" applyNumberFormat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164" fontId="20" fillId="0" borderId="11" xfId="0" applyNumberFormat="1" applyFont="1" applyBorder="1" applyAlignment="1">
      <alignment horizontal="center" vertical="center" wrapText="1"/>
    </xf>
    <xf numFmtId="164" fontId="20" fillId="0" borderId="11" xfId="0" applyNumberFormat="1" applyFont="1" applyBorder="1" applyAlignment="1">
      <alignment horizontal="center" vertical="center" wrapText="1"/>
    </xf>
    <xf numFmtId="164" fontId="20" fillId="0" borderId="15" xfId="0" applyNumberFormat="1" applyFont="1" applyBorder="1" applyAlignment="1">
      <alignment horizontal="center" vertical="center" wrapText="1"/>
    </xf>
    <xf numFmtId="164" fontId="20" fillId="0" borderId="2" xfId="0" applyNumberFormat="1" applyFont="1" applyBorder="1" applyAlignment="1">
      <alignment horizontal="center" vertical="center" wrapText="1"/>
    </xf>
    <xf numFmtId="164" fontId="20" fillId="0" borderId="3" xfId="0" applyNumberFormat="1" applyFont="1" applyBorder="1" applyAlignment="1">
      <alignment horizontal="center" vertical="center" wrapText="1"/>
    </xf>
    <xf numFmtId="0" fontId="11" fillId="18" borderId="2" xfId="0" applyFont="1" applyFill="1" applyBorder="1" applyAlignment="1">
      <alignment horizontal="center" vertical="center" wrapText="1"/>
    </xf>
    <xf numFmtId="164" fontId="11" fillId="3" borderId="28" xfId="0" applyNumberFormat="1" applyFont="1" applyFill="1" applyBorder="1" applyAlignment="1">
      <alignment horizontal="center" vertical="center" wrapText="1"/>
    </xf>
    <xf numFmtId="164" fontId="11" fillId="0" borderId="2" xfId="0" applyNumberFormat="1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 wrapText="1"/>
    </xf>
    <xf numFmtId="171" fontId="11" fillId="3" borderId="28" xfId="0" applyNumberFormat="1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164" fontId="20" fillId="0" borderId="6" xfId="0" applyNumberFormat="1" applyFont="1" applyBorder="1" applyAlignment="1">
      <alignment horizontal="center" vertical="center" wrapText="1"/>
    </xf>
    <xf numFmtId="164" fontId="11" fillId="0" borderId="6" xfId="0" applyNumberFormat="1" applyFont="1" applyFill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2" fontId="11" fillId="3" borderId="4" xfId="0" applyNumberFormat="1" applyFont="1" applyFill="1" applyBorder="1" applyAlignment="1">
      <alignment horizontal="center" vertical="center" wrapText="1"/>
    </xf>
    <xf numFmtId="164" fontId="20" fillId="0" borderId="0" xfId="0" applyNumberFormat="1" applyFont="1" applyBorder="1" applyAlignment="1">
      <alignment horizontal="center" vertical="center" wrapText="1"/>
    </xf>
    <xf numFmtId="164" fontId="11" fillId="0" borderId="0" xfId="0" applyNumberFormat="1" applyFont="1" applyFill="1" applyBorder="1" applyAlignment="1">
      <alignment horizontal="center" vertical="center" wrapText="1"/>
    </xf>
    <xf numFmtId="164" fontId="11" fillId="0" borderId="0" xfId="0" applyNumberFormat="1" applyFont="1" applyFill="1" applyBorder="1" applyAlignment="1">
      <alignment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3" fillId="8" borderId="2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24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Verdana" panose="020B0604030504040204" pitchFamily="34" charset="0"/>
                <a:cs typeface="+mn-cs"/>
              </a:defRPr>
            </a:pPr>
            <a:r>
              <a:rPr lang="en-IN"/>
              <a:t>GPA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21947256592926"/>
          <c:y val="0.12098787425327491"/>
          <c:w val="0.85675611977074295"/>
          <c:h val="0.7225289485873089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Verdana" panose="020B0604030504040204" pitchFamily="34" charset="0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'Excel Project (2)'!$B$8:$B$69</c:f>
              <c:numCache>
                <c:formatCode>General</c:formatCode>
                <c:ptCount val="62"/>
                <c:pt idx="0">
                  <c:v>1</c:v>
                </c:pt>
                <c:pt idx="10">
                  <c:v>2</c:v>
                </c:pt>
                <c:pt idx="18">
                  <c:v>3</c:v>
                </c:pt>
                <c:pt idx="26">
                  <c:v>4</c:v>
                </c:pt>
                <c:pt idx="34">
                  <c:v>5</c:v>
                </c:pt>
                <c:pt idx="43">
                  <c:v>6</c:v>
                </c:pt>
                <c:pt idx="51">
                  <c:v>7</c:v>
                </c:pt>
                <c:pt idx="59">
                  <c:v>8</c:v>
                </c:pt>
              </c:numCache>
            </c:numRef>
          </c:cat>
          <c:val>
            <c:numRef>
              <c:f>'Excel Project (2)'!$N$8:$N$69</c:f>
              <c:numCache>
                <c:formatCode>0.0</c:formatCode>
                <c:ptCount val="62"/>
                <c:pt idx="0">
                  <c:v>6</c:v>
                </c:pt>
                <c:pt idx="10">
                  <c:v>6.5</c:v>
                </c:pt>
                <c:pt idx="18">
                  <c:v>7.458333333333333</c:v>
                </c:pt>
                <c:pt idx="26">
                  <c:v>7.68</c:v>
                </c:pt>
                <c:pt idx="34">
                  <c:v>7.8695652173913047</c:v>
                </c:pt>
                <c:pt idx="43">
                  <c:v>0</c:v>
                </c:pt>
                <c:pt idx="51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AB-4D4F-9672-73D1DA5BC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168224"/>
        <c:axId val="304160352"/>
      </c:lineChart>
      <c:catAx>
        <c:axId val="30416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 panose="020B0502020104020203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IN"/>
                  <a:t>Semester</a:t>
                </a:r>
              </a:p>
            </c:rich>
          </c:tx>
          <c:layout>
            <c:manualLayout>
              <c:xMode val="edge"/>
              <c:yMode val="edge"/>
              <c:x val="0.48060252224569489"/>
              <c:y val="0.944641112344548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" panose="020B0502020104020203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304160352"/>
        <c:crosses val="autoZero"/>
        <c:auto val="1"/>
        <c:lblAlgn val="ctr"/>
        <c:lblOffset val="100"/>
        <c:noMultiLvlLbl val="0"/>
      </c:catAx>
      <c:valAx>
        <c:axId val="304160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 panose="020B0502020104020203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IN"/>
                  <a:t>GPA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" panose="020B0502020104020203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30416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100">
          <a:latin typeface="Gill Sans MT" panose="020B0502020104020203" pitchFamily="34" charset="0"/>
          <a:ea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Verdana" panose="020B0604030504040204" pitchFamily="34" charset="0"/>
                <a:cs typeface="+mn-cs"/>
              </a:defRPr>
            </a:pPr>
            <a:r>
              <a:rPr lang="en-IN"/>
              <a:t>CGPA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822519546534254E-2"/>
          <c:y val="0.12702103114256208"/>
          <c:w val="0.86915311047860444"/>
          <c:h val="0.7164957101088049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Verdana" panose="020B0604030504040204" pitchFamily="34" charset="0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'Excel Project (2)'!$B$8:$B$69</c:f>
              <c:numCache>
                <c:formatCode>General</c:formatCode>
                <c:ptCount val="62"/>
                <c:pt idx="0">
                  <c:v>1</c:v>
                </c:pt>
                <c:pt idx="10">
                  <c:v>2</c:v>
                </c:pt>
                <c:pt idx="18">
                  <c:v>3</c:v>
                </c:pt>
                <c:pt idx="26">
                  <c:v>4</c:v>
                </c:pt>
                <c:pt idx="34">
                  <c:v>5</c:v>
                </c:pt>
                <c:pt idx="43">
                  <c:v>6</c:v>
                </c:pt>
                <c:pt idx="51">
                  <c:v>7</c:v>
                </c:pt>
                <c:pt idx="59">
                  <c:v>8</c:v>
                </c:pt>
              </c:numCache>
            </c:numRef>
          </c:cat>
          <c:val>
            <c:numRef>
              <c:f>'Excel Project (2)'!$P$8:$P$69</c:f>
              <c:numCache>
                <c:formatCode>0.0</c:formatCode>
                <c:ptCount val="62"/>
                <c:pt idx="0">
                  <c:v>6</c:v>
                </c:pt>
                <c:pt idx="10">
                  <c:v>6.24</c:v>
                </c:pt>
                <c:pt idx="18">
                  <c:v>6.6351351351351351</c:v>
                </c:pt>
                <c:pt idx="26">
                  <c:v>6.8989898989898988</c:v>
                </c:pt>
                <c:pt idx="34">
                  <c:v>7.081967213114754</c:v>
                </c:pt>
                <c:pt idx="43">
                  <c:v>0</c:v>
                </c:pt>
                <c:pt idx="51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A5-44BE-8142-15265A09F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168224"/>
        <c:axId val="304160352"/>
      </c:lineChart>
      <c:catAx>
        <c:axId val="30416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 panose="020B0502020104020203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IN"/>
                  <a:t>Semester</a:t>
                </a:r>
              </a:p>
            </c:rich>
          </c:tx>
          <c:layout>
            <c:manualLayout>
              <c:xMode val="edge"/>
              <c:yMode val="edge"/>
              <c:x val="0.48060252224569489"/>
              <c:y val="0.944641112344548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" panose="020B0502020104020203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304160352"/>
        <c:crosses val="autoZero"/>
        <c:auto val="1"/>
        <c:lblAlgn val="ctr"/>
        <c:lblOffset val="100"/>
        <c:noMultiLvlLbl val="0"/>
      </c:catAx>
      <c:valAx>
        <c:axId val="304160352"/>
        <c:scaling>
          <c:orientation val="minMax"/>
          <c:max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 panose="020B0502020104020203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IN"/>
                  <a:t>CGPA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" panose="020B0502020104020203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30416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 sz="1100">
          <a:latin typeface="Gill Sans MT" panose="020B0502020104020203" pitchFamily="34" charset="0"/>
          <a:ea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Verdana" panose="020B0604030504040204" pitchFamily="34" charset="0"/>
                <a:cs typeface="+mn-cs"/>
              </a:defRPr>
            </a:pPr>
            <a:r>
              <a:rPr lang="en-IN"/>
              <a:t>GPA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473379851908756E-2"/>
          <c:y val="0.12702103114256208"/>
          <c:w val="0.88850222990418881"/>
          <c:h val="0.7164957101088049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Verdana" panose="020B0604030504040204" pitchFamily="34" charset="0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'Excel Project'!$B$8:$B$69</c:f>
              <c:numCache>
                <c:formatCode>General</c:formatCode>
                <c:ptCount val="62"/>
                <c:pt idx="0">
                  <c:v>1</c:v>
                </c:pt>
                <c:pt idx="10">
                  <c:v>2</c:v>
                </c:pt>
                <c:pt idx="18">
                  <c:v>3</c:v>
                </c:pt>
                <c:pt idx="26">
                  <c:v>4</c:v>
                </c:pt>
                <c:pt idx="34">
                  <c:v>5</c:v>
                </c:pt>
                <c:pt idx="43">
                  <c:v>6</c:v>
                </c:pt>
                <c:pt idx="51">
                  <c:v>7</c:v>
                </c:pt>
                <c:pt idx="59">
                  <c:v>8</c:v>
                </c:pt>
              </c:numCache>
            </c:numRef>
          </c:cat>
          <c:val>
            <c:numRef>
              <c:f>'Excel Project'!$N$8:$N$69</c:f>
              <c:numCache>
                <c:formatCode>0.0</c:formatCode>
                <c:ptCount val="62"/>
                <c:pt idx="0">
                  <c:v>6.0370370370370372</c:v>
                </c:pt>
                <c:pt idx="10">
                  <c:v>6.5</c:v>
                </c:pt>
                <c:pt idx="18">
                  <c:v>7.458333333333333</c:v>
                </c:pt>
                <c:pt idx="26">
                  <c:v>7.68</c:v>
                </c:pt>
                <c:pt idx="34">
                  <c:v>7.8695652173913047</c:v>
                </c:pt>
                <c:pt idx="43">
                  <c:v>8.0434782608695645</c:v>
                </c:pt>
                <c:pt idx="51">
                  <c:v>8.454545454545455</c:v>
                </c:pt>
                <c:pt idx="5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B-4CEC-B892-BF6D7661B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168224"/>
        <c:axId val="304160352"/>
      </c:lineChart>
      <c:catAx>
        <c:axId val="30416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 panose="020B0502020104020203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IN"/>
                  <a:t>Semester</a:t>
                </a:r>
              </a:p>
            </c:rich>
          </c:tx>
          <c:layout>
            <c:manualLayout>
              <c:xMode val="edge"/>
              <c:yMode val="edge"/>
              <c:x val="0.48060252224569489"/>
              <c:y val="0.944641112344548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" panose="020B0502020104020203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304160352"/>
        <c:crosses val="autoZero"/>
        <c:auto val="1"/>
        <c:lblAlgn val="ctr"/>
        <c:lblOffset val="100"/>
        <c:noMultiLvlLbl val="0"/>
      </c:catAx>
      <c:valAx>
        <c:axId val="30416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 panose="020B0502020104020203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IN"/>
                  <a:t>GPA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" panose="020B0502020104020203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30416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 sz="1100">
          <a:latin typeface="Gill Sans MT" panose="020B0502020104020203" pitchFamily="34" charset="0"/>
          <a:ea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Verdana" panose="020B0604030504040204" pitchFamily="34" charset="0"/>
                <a:cs typeface="+mn-cs"/>
              </a:defRPr>
            </a:pPr>
            <a:r>
              <a:rPr lang="en-IN"/>
              <a:t>CGPA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473379851908756E-2"/>
          <c:y val="0.12702103114256208"/>
          <c:w val="0.88850222990418881"/>
          <c:h val="0.7164957101088049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Verdana" panose="020B0604030504040204" pitchFamily="34" charset="0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'Excel Project'!$B$8:$B$69</c:f>
              <c:numCache>
                <c:formatCode>General</c:formatCode>
                <c:ptCount val="62"/>
                <c:pt idx="0">
                  <c:v>1</c:v>
                </c:pt>
                <c:pt idx="10">
                  <c:v>2</c:v>
                </c:pt>
                <c:pt idx="18">
                  <c:v>3</c:v>
                </c:pt>
                <c:pt idx="26">
                  <c:v>4</c:v>
                </c:pt>
                <c:pt idx="34">
                  <c:v>5</c:v>
                </c:pt>
                <c:pt idx="43">
                  <c:v>6</c:v>
                </c:pt>
                <c:pt idx="51">
                  <c:v>7</c:v>
                </c:pt>
                <c:pt idx="59">
                  <c:v>8</c:v>
                </c:pt>
              </c:numCache>
            </c:numRef>
          </c:cat>
          <c:val>
            <c:numRef>
              <c:f>'Excel Project'!$P$8:$P$69</c:f>
              <c:numCache>
                <c:formatCode>0.0</c:formatCode>
                <c:ptCount val="62"/>
                <c:pt idx="0">
                  <c:v>6.0370370370370372</c:v>
                </c:pt>
                <c:pt idx="10">
                  <c:v>6.2549019607843137</c:v>
                </c:pt>
                <c:pt idx="18">
                  <c:v>6.64</c:v>
                </c:pt>
                <c:pt idx="26">
                  <c:v>6.9</c:v>
                </c:pt>
                <c:pt idx="34">
                  <c:v>7.0813008130081299</c:v>
                </c:pt>
                <c:pt idx="43">
                  <c:v>7.2328767123287667</c:v>
                </c:pt>
                <c:pt idx="51">
                  <c:v>7.3928571428571432</c:v>
                </c:pt>
                <c:pt idx="59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4B-4CAD-87EF-08C15836F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168224"/>
        <c:axId val="304160352"/>
      </c:lineChart>
      <c:catAx>
        <c:axId val="30416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 panose="020B0502020104020203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IN"/>
                  <a:t>Semester</a:t>
                </a:r>
              </a:p>
            </c:rich>
          </c:tx>
          <c:layout>
            <c:manualLayout>
              <c:xMode val="edge"/>
              <c:yMode val="edge"/>
              <c:x val="0.48060252224569489"/>
              <c:y val="0.944641112344548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" panose="020B0502020104020203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304160352"/>
        <c:crosses val="autoZero"/>
        <c:auto val="1"/>
        <c:lblAlgn val="ctr"/>
        <c:lblOffset val="100"/>
        <c:noMultiLvlLbl val="0"/>
      </c:catAx>
      <c:valAx>
        <c:axId val="304160352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 panose="020B0502020104020203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IN"/>
                  <a:t>CGPA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" panose="020B0502020104020203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30416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 sz="1100">
          <a:latin typeface="Gill Sans MT" panose="020B0502020104020203" pitchFamily="34" charset="0"/>
          <a:ea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95251</xdr:colOff>
      <xdr:row>93</xdr:row>
      <xdr:rowOff>19049</xdr:rowOff>
    </xdr:from>
    <xdr:to>
      <xdr:col>5</xdr:col>
      <xdr:colOff>142876</xdr:colOff>
      <xdr:row>115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2AA48A-9DE0-4C6D-9679-30E6447C7E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295275</xdr:colOff>
      <xdr:row>93</xdr:row>
      <xdr:rowOff>9523</xdr:rowOff>
    </xdr:from>
    <xdr:to>
      <xdr:col>15</xdr:col>
      <xdr:colOff>152400</xdr:colOff>
      <xdr:row>115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241D0F-723B-4251-857F-842A4E435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89</xdr:row>
      <xdr:rowOff>19049</xdr:rowOff>
    </xdr:from>
    <xdr:to>
      <xdr:col>7</xdr:col>
      <xdr:colOff>352425</xdr:colOff>
      <xdr:row>105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3F7C95-CA3A-44E2-B6D5-6A1319EE1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95250</xdr:colOff>
      <xdr:row>105</xdr:row>
      <xdr:rowOff>133349</xdr:rowOff>
    </xdr:from>
    <xdr:to>
      <xdr:col>7</xdr:col>
      <xdr:colOff>361950</xdr:colOff>
      <xdr:row>119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544654-EFF1-41E9-9B20-F46E0139A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s.annauniv.edu/academic/ug2012/DPSD.pdf" TargetMode="External"/><Relationship Id="rId13" Type="http://schemas.openxmlformats.org/officeDocument/2006/relationships/hyperlink" Target="https://cs.annauniv.edu/academic/ug2012/DS.pdf" TargetMode="External"/><Relationship Id="rId18" Type="http://schemas.openxmlformats.org/officeDocument/2006/relationships/hyperlink" Target="https://cs.annauniv.edu/academic/ug2012/DS-Lab.pdf" TargetMode="External"/><Relationship Id="rId26" Type="http://schemas.openxmlformats.org/officeDocument/2006/relationships/hyperlink" Target="https://cs.annauniv.edu/academic/ug2012/OS-Lab.pdf" TargetMode="External"/><Relationship Id="rId39" Type="http://schemas.openxmlformats.org/officeDocument/2006/relationships/hyperlink" Target="https://cs.annauniv.edu/academic/ug2012/PP.pdf" TargetMode="External"/><Relationship Id="rId3" Type="http://schemas.openxmlformats.org/officeDocument/2006/relationships/hyperlink" Target="https://cs.annauniv.edu/academic/ug2012/CP-Lab.pdf" TargetMode="External"/><Relationship Id="rId21" Type="http://schemas.openxmlformats.org/officeDocument/2006/relationships/hyperlink" Target="https://cs.annauniv.edu/academic/ug2012/OS.pdf" TargetMode="External"/><Relationship Id="rId34" Type="http://schemas.openxmlformats.org/officeDocument/2006/relationships/hyperlink" Target="https://cs.annauniv.edu/academic/ug2012/MP-Lab.pdf" TargetMode="External"/><Relationship Id="rId42" Type="http://schemas.openxmlformats.org/officeDocument/2006/relationships/hyperlink" Target="https://cs.annauniv.edu/academic/ug2012/SIC.pdf" TargetMode="External"/><Relationship Id="rId47" Type="http://schemas.openxmlformats.org/officeDocument/2006/relationships/printerSettings" Target="../printerSettings/printerSettings3.bin"/><Relationship Id="rId7" Type="http://schemas.openxmlformats.org/officeDocument/2006/relationships/hyperlink" Target="https://cs.annauniv.edu/academic/ug2012/PC++.pdf" TargetMode="External"/><Relationship Id="rId12" Type="http://schemas.openxmlformats.org/officeDocument/2006/relationships/hyperlink" Target="https://cs.annauniv.edu/academic/ug2012/EDC.pdf" TargetMode="External"/><Relationship Id="rId17" Type="http://schemas.openxmlformats.org/officeDocument/2006/relationships/hyperlink" Target="https://cs.annauniv.edu/academic/ug2012/DBMS-Lab.pdf" TargetMode="External"/><Relationship Id="rId25" Type="http://schemas.openxmlformats.org/officeDocument/2006/relationships/hyperlink" Target="https://cs.annauniv.edu/academic/ug2012/JIP-Lab.pdf" TargetMode="External"/><Relationship Id="rId33" Type="http://schemas.openxmlformats.org/officeDocument/2006/relationships/hyperlink" Target="https://cs.annauniv.edu/academic/ug2012/CT-Lab.pdf" TargetMode="External"/><Relationship Id="rId38" Type="http://schemas.openxmlformats.org/officeDocument/2006/relationships/hyperlink" Target="https://cs.annauniv.edu/academic/ug2012/CD.pdf" TargetMode="External"/><Relationship Id="rId46" Type="http://schemas.openxmlformats.org/officeDocument/2006/relationships/hyperlink" Target="https://cs.annauniv.edu/academic/ug2012/MAD-Lab.pdf" TargetMode="External"/><Relationship Id="rId2" Type="http://schemas.openxmlformats.org/officeDocument/2006/relationships/hyperlink" Target="https://cs.annauniv.edu/academic/ug2012/CT.pdf" TargetMode="External"/><Relationship Id="rId16" Type="http://schemas.openxmlformats.org/officeDocument/2006/relationships/hyperlink" Target="https://cs.annauniv.edu/academic/ug2012/CA.pdf" TargetMode="External"/><Relationship Id="rId20" Type="http://schemas.openxmlformats.org/officeDocument/2006/relationships/hyperlink" Target="https://cs.annauniv.edu/academic/ug2012/DAA.pdf" TargetMode="External"/><Relationship Id="rId29" Type="http://schemas.openxmlformats.org/officeDocument/2006/relationships/hyperlink" Target="https://cs.annauniv.edu/academic/ug2012/SSI.pdf" TargetMode="External"/><Relationship Id="rId41" Type="http://schemas.openxmlformats.org/officeDocument/2006/relationships/hyperlink" Target="https://cs.annauniv.edu/academic/ug2012/MPC.pdf" TargetMode="External"/><Relationship Id="rId1" Type="http://schemas.openxmlformats.org/officeDocument/2006/relationships/hyperlink" Target="https://cs.annauniv.edu/academic/ug2012/M1.pdf" TargetMode="External"/><Relationship Id="rId6" Type="http://schemas.openxmlformats.org/officeDocument/2006/relationships/hyperlink" Target="https://cs.annauniv.edu/academic/ug2012/PCE.pdf" TargetMode="External"/><Relationship Id="rId11" Type="http://schemas.openxmlformats.org/officeDocument/2006/relationships/hyperlink" Target="https://cs.annauniv.edu/academic/ug2012/ANT.pdf" TargetMode="External"/><Relationship Id="rId24" Type="http://schemas.openxmlformats.org/officeDocument/2006/relationships/hyperlink" Target="https://cs.annauniv.edu/academic/ug2012/SE.pdf" TargetMode="External"/><Relationship Id="rId32" Type="http://schemas.openxmlformats.org/officeDocument/2006/relationships/hyperlink" Target="https://cs.annauniv.edu/academic/ug2012/CN-Lab.pdf" TargetMode="External"/><Relationship Id="rId37" Type="http://schemas.openxmlformats.org/officeDocument/2006/relationships/hyperlink" Target="https://cs.annauniv.edu/academic/ug2012/CG.pdf" TargetMode="External"/><Relationship Id="rId40" Type="http://schemas.openxmlformats.org/officeDocument/2006/relationships/hyperlink" Target="https://cs.annauniv.edu/academic/ug2012/CG-Lab.pdf" TargetMode="External"/><Relationship Id="rId45" Type="http://schemas.openxmlformats.org/officeDocument/2006/relationships/hyperlink" Target="https://cs.annauniv.edu/academic/ug2012/SD-Lab.pdf" TargetMode="External"/><Relationship Id="rId5" Type="http://schemas.openxmlformats.org/officeDocument/2006/relationships/hyperlink" Target="https://cs.annauniv.edu/academic/ug2012/CP.pdf" TargetMode="External"/><Relationship Id="rId15" Type="http://schemas.openxmlformats.org/officeDocument/2006/relationships/hyperlink" Target="https://cs.annauniv.edu/academic/ug2012/EVS.pdf" TargetMode="External"/><Relationship Id="rId23" Type="http://schemas.openxmlformats.org/officeDocument/2006/relationships/hyperlink" Target="https://cs.annauniv.edu/academic/ug2012/PQT.pdf" TargetMode="External"/><Relationship Id="rId28" Type="http://schemas.openxmlformats.org/officeDocument/2006/relationships/hyperlink" Target="https://cs.annauniv.edu/academic/ug2012/TOC.pdf" TargetMode="External"/><Relationship Id="rId36" Type="http://schemas.openxmlformats.org/officeDocument/2006/relationships/hyperlink" Target="https://cs.annauniv.edu/academic/ug2012/DSP.pdf" TargetMode="External"/><Relationship Id="rId10" Type="http://schemas.openxmlformats.org/officeDocument/2006/relationships/hyperlink" Target="https://cs.annauniv.edu/academic/ug2012/DIGITAL-Lab.pdf" TargetMode="External"/><Relationship Id="rId19" Type="http://schemas.openxmlformats.org/officeDocument/2006/relationships/hyperlink" Target="https://cs.annauniv.edu/academic/ug2012/EECS.pdf" TargetMode="External"/><Relationship Id="rId31" Type="http://schemas.openxmlformats.org/officeDocument/2006/relationships/hyperlink" Target="https://cs.annauniv.edu/academic/ug2012/DCCN.pdf" TargetMode="External"/><Relationship Id="rId44" Type="http://schemas.openxmlformats.org/officeDocument/2006/relationships/hyperlink" Target="https://cs.annauniv.edu/academic/ug2012/PARALLEL.pdf" TargetMode="External"/><Relationship Id="rId4" Type="http://schemas.openxmlformats.org/officeDocument/2006/relationships/hyperlink" Target="https://cs.annauniv.edu/academic/ug2012/M2.pdf" TargetMode="External"/><Relationship Id="rId9" Type="http://schemas.openxmlformats.org/officeDocument/2006/relationships/hyperlink" Target="https://cs.annauniv.edu/academic/ug2012/PRG-Lab.pdf" TargetMode="External"/><Relationship Id="rId14" Type="http://schemas.openxmlformats.org/officeDocument/2006/relationships/hyperlink" Target="https://cs.annauniv.edu/academic/ug2012/DBMS.pdf" TargetMode="External"/><Relationship Id="rId22" Type="http://schemas.openxmlformats.org/officeDocument/2006/relationships/hyperlink" Target="https://cs.annauniv.edu/academic/ug2012/JIP.pdf" TargetMode="External"/><Relationship Id="rId27" Type="http://schemas.openxmlformats.org/officeDocument/2006/relationships/hyperlink" Target="https://cs.annauniv.edu/academic/ug2012/OOAD.pdf" TargetMode="External"/><Relationship Id="rId30" Type="http://schemas.openxmlformats.org/officeDocument/2006/relationships/hyperlink" Target="https://cs.annauniv.edu/academic/ug2012/MP.pdf" TargetMode="External"/><Relationship Id="rId35" Type="http://schemas.openxmlformats.org/officeDocument/2006/relationships/hyperlink" Target="https://cs.annauniv.edu/academic/ug2012/AI.pdf" TargetMode="External"/><Relationship Id="rId43" Type="http://schemas.openxmlformats.org/officeDocument/2006/relationships/hyperlink" Target="https://cs.annauniv.edu/academic/ug2012/PO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AB748-2CDD-4764-B3FE-949FF938234B}">
  <dimension ref="A1:W121"/>
  <sheetViews>
    <sheetView tabSelected="1" topLeftCell="A88" workbookViewId="0">
      <selection activeCell="E92" sqref="E92"/>
    </sheetView>
  </sheetViews>
  <sheetFormatPr defaultRowHeight="17.25" x14ac:dyDescent="0.25"/>
  <cols>
    <col min="1" max="1" width="5.28515625" style="107" bestFit="1" customWidth="1"/>
    <col min="2" max="2" width="13.140625" style="107" bestFit="1" customWidth="1"/>
    <col min="3" max="3" width="27.140625" style="107" bestFit="1" customWidth="1"/>
    <col min="4" max="4" width="8.85546875" style="107" customWidth="1"/>
    <col min="5" max="5" width="34.140625" style="107" customWidth="1"/>
    <col min="6" max="6" width="11.140625" style="107" customWidth="1"/>
    <col min="7" max="7" width="10.7109375" style="107" customWidth="1"/>
    <col min="8" max="8" width="11.140625" style="107" customWidth="1"/>
    <col min="9" max="9" width="10.7109375" style="107" customWidth="1"/>
    <col min="10" max="11" width="7.7109375" style="107" customWidth="1"/>
    <col min="12" max="12" width="10" style="107" customWidth="1"/>
    <col min="13" max="13" width="13" style="107" customWidth="1"/>
    <col min="14" max="14" width="15.5703125" style="107" customWidth="1"/>
    <col min="15" max="15" width="15" style="107" customWidth="1"/>
    <col min="16" max="16" width="22" style="107" customWidth="1"/>
    <col min="17" max="17" width="22.42578125" style="107" customWidth="1"/>
    <col min="18" max="18" width="15.28515625" style="107" customWidth="1"/>
    <col min="19" max="20" width="8.140625" style="107" customWidth="1"/>
    <col min="21" max="21" width="13.140625" style="107" bestFit="1" customWidth="1"/>
    <col min="22" max="22" width="12.7109375" style="107" customWidth="1"/>
    <col min="23" max="23" width="35.28515625" style="107" customWidth="1"/>
    <col min="24" max="16384" width="9.140625" style="107"/>
  </cols>
  <sheetData>
    <row r="1" spans="1:23" ht="38.25" customHeight="1" x14ac:dyDescent="0.25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</row>
    <row r="2" spans="1:23" x14ac:dyDescent="0.25">
      <c r="A2" s="108" t="s">
        <v>39</v>
      </c>
      <c r="B2" s="109"/>
      <c r="C2" s="110"/>
      <c r="D2" s="111" t="s">
        <v>216</v>
      </c>
      <c r="E2" s="112"/>
    </row>
    <row r="3" spans="1:23" x14ac:dyDescent="0.25">
      <c r="A3" s="108" t="s">
        <v>178</v>
      </c>
      <c r="B3" s="109"/>
      <c r="C3" s="110"/>
      <c r="D3" s="111" t="s">
        <v>179</v>
      </c>
      <c r="E3" s="112"/>
    </row>
    <row r="4" spans="1:23" x14ac:dyDescent="0.25">
      <c r="A4" s="108" t="s">
        <v>180</v>
      </c>
      <c r="B4" s="109"/>
      <c r="C4" s="110"/>
      <c r="D4" s="111" t="s">
        <v>181</v>
      </c>
      <c r="E4" s="112"/>
    </row>
    <row r="5" spans="1:23" ht="18" thickBot="1" x14ac:dyDescent="0.3">
      <c r="S5" s="59" t="s">
        <v>184</v>
      </c>
      <c r="T5" s="59"/>
      <c r="U5" s="59"/>
    </row>
    <row r="6" spans="1:23" ht="39" customHeight="1" thickBot="1" x14ac:dyDescent="0.3">
      <c r="A6" s="113" t="s">
        <v>2</v>
      </c>
      <c r="B6" s="113" t="s">
        <v>3</v>
      </c>
      <c r="C6" s="113" t="s">
        <v>171</v>
      </c>
      <c r="D6" s="113" t="s">
        <v>40</v>
      </c>
      <c r="E6" s="113" t="s">
        <v>4</v>
      </c>
      <c r="F6" s="114" t="s">
        <v>5</v>
      </c>
      <c r="G6" s="114" t="s">
        <v>6</v>
      </c>
      <c r="H6" s="114" t="s">
        <v>28</v>
      </c>
      <c r="I6" s="115" t="s">
        <v>29</v>
      </c>
      <c r="J6" s="115" t="s">
        <v>7</v>
      </c>
      <c r="K6" s="115" t="s">
        <v>30</v>
      </c>
      <c r="L6" s="115" t="s">
        <v>31</v>
      </c>
      <c r="M6" s="115" t="s">
        <v>32</v>
      </c>
      <c r="N6" s="115" t="s">
        <v>33</v>
      </c>
      <c r="O6" s="115" t="s">
        <v>182</v>
      </c>
      <c r="P6" s="115" t="s">
        <v>220</v>
      </c>
      <c r="Q6" s="115" t="s">
        <v>38</v>
      </c>
      <c r="S6" s="116" t="s">
        <v>27</v>
      </c>
      <c r="T6" s="117"/>
      <c r="U6" s="118" t="s">
        <v>7</v>
      </c>
      <c r="V6" s="118" t="s">
        <v>8</v>
      </c>
      <c r="W6" s="118" t="s">
        <v>9</v>
      </c>
    </row>
    <row r="7" spans="1:23" ht="35.25" thickBot="1" x14ac:dyDescent="0.3">
      <c r="A7" s="113"/>
      <c r="B7" s="113"/>
      <c r="C7" s="113"/>
      <c r="D7" s="113"/>
      <c r="E7" s="113"/>
      <c r="F7" s="114" t="s">
        <v>176</v>
      </c>
      <c r="G7" s="114" t="s">
        <v>177</v>
      </c>
      <c r="H7" s="114" t="s">
        <v>183</v>
      </c>
      <c r="I7" s="119"/>
      <c r="J7" s="119"/>
      <c r="K7" s="119"/>
      <c r="L7" s="119"/>
      <c r="M7" s="119"/>
      <c r="N7" s="119"/>
      <c r="O7" s="119"/>
      <c r="P7" s="119"/>
      <c r="Q7" s="119"/>
      <c r="S7" s="120">
        <v>91</v>
      </c>
      <c r="T7" s="120">
        <v>100</v>
      </c>
      <c r="U7" s="120" t="s">
        <v>10</v>
      </c>
      <c r="V7" s="120">
        <v>10</v>
      </c>
      <c r="W7" s="121" t="s">
        <v>11</v>
      </c>
    </row>
    <row r="8" spans="1:23" ht="13.5" customHeight="1" thickBot="1" x14ac:dyDescent="0.3">
      <c r="A8" s="122">
        <v>1</v>
      </c>
      <c r="B8" s="122">
        <v>1</v>
      </c>
      <c r="C8" s="122" t="s">
        <v>47</v>
      </c>
      <c r="D8" s="123" t="s">
        <v>48</v>
      </c>
      <c r="E8" s="124" t="str">
        <f>VLOOKUP(D8,'Course data'!$C$4:$H$65,2,FALSE)</f>
        <v>Technical English I</v>
      </c>
      <c r="F8" s="123">
        <v>38</v>
      </c>
      <c r="G8" s="123">
        <v>35</v>
      </c>
      <c r="H8" s="123">
        <f>F8+G8</f>
        <v>73</v>
      </c>
      <c r="I8" s="125">
        <f>IF(F8&lt;&gt;"",AVERAGE(H8:H17),"")</f>
        <v>61.7</v>
      </c>
      <c r="J8" s="126" t="str">
        <f>IF(F8&lt;&gt;"",IF(AND(H8&gt;=$S$7,H8&lt;=$T$7),$U$7,IF(AND(H8&gt;=$S$8,H8&lt;=$T$8),$U$8,IF(AND(H8&gt;=$S$9,H8&lt;=$T$9),$U$9,IF(AND(H8&gt;=$S$10,H8&lt;=$T$10),$U$10,IF(AND(H8&gt;=$S$11,H8&lt;=$T$11),$U$11,IF(AND(H8&gt;=$S$12,H8&lt;=$T$12),$U$12,0)))))),"")</f>
        <v>A</v>
      </c>
      <c r="K8" s="127">
        <f>IF(F8&lt;&gt;"",IF(AND(H8&gt;=$S$7,H8&lt;=$T$7),$V$7,IF(AND(H8&gt;=$S$8,H8&lt;=$T$8),$V$8,IF(AND(H8&gt;=$S$9,H8&lt;=$T$9),$V$9,IF(AND(H8&gt;=$S$10,H8&lt;=$T$10),$V$10,IF(AND(H8&gt;=$S$11,H8&lt;=$T$11),$V$11,IF(AND(H8&gt;=$S$12,H8&lt;=$T$12),$V$12,0)))))),"")</f>
        <v>8</v>
      </c>
      <c r="L8" s="123">
        <f>IF(F8&lt;&gt;"",4,"")</f>
        <v>4</v>
      </c>
      <c r="M8" s="122">
        <f>IF(F8&lt;&gt;"",SUM(L8:L17),"")</f>
        <v>26</v>
      </c>
      <c r="N8" s="128">
        <f>IF(F8&lt;&gt;"",SUMPRODUCT(K8:K17,L8:L17)/M8,"")</f>
        <v>6</v>
      </c>
      <c r="O8" s="129">
        <f>IF(F8&lt;&gt;"",M8,"")</f>
        <v>26</v>
      </c>
      <c r="P8" s="130">
        <f>IF(F8&lt;&gt;"",SUMPRODUCT(M8:M17,N8:N17)/O8,"")</f>
        <v>6</v>
      </c>
      <c r="Q8" s="131"/>
      <c r="S8" s="132">
        <v>81</v>
      </c>
      <c r="T8" s="132">
        <v>90</v>
      </c>
      <c r="U8" s="132" t="s">
        <v>12</v>
      </c>
      <c r="V8" s="132">
        <v>9</v>
      </c>
      <c r="W8" s="121" t="s">
        <v>13</v>
      </c>
    </row>
    <row r="9" spans="1:23" ht="13.5" customHeight="1" thickBot="1" x14ac:dyDescent="0.3">
      <c r="A9" s="122"/>
      <c r="B9" s="122"/>
      <c r="C9" s="122"/>
      <c r="D9" s="123" t="s">
        <v>50</v>
      </c>
      <c r="E9" s="124" t="str">
        <f>VLOOKUP(D9,'Course data'!$C$4:$H$65,2,FALSE)</f>
        <v>Mathematics I</v>
      </c>
      <c r="F9" s="123">
        <v>26</v>
      </c>
      <c r="G9" s="123">
        <v>38</v>
      </c>
      <c r="H9" s="123">
        <f t="shared" ref="H9:H69" si="0">F9+G9</f>
        <v>64</v>
      </c>
      <c r="I9" s="125"/>
      <c r="J9" s="126" t="str">
        <f t="shared" ref="J9:J17" si="1">IF(F9&lt;&gt;"",IF(AND(H9&gt;=$S$7,H9&lt;=$T$7),$U$7,IF(AND(H9&gt;=$S$8,H9&lt;=$T$8),$U$8,IF(AND(H9&gt;=$S$9,H9&lt;=$T$9),$U$9,IF(AND(H9&gt;=$S$10,H9&lt;=$T$10),$U$10,IF(AND(H9&gt;=$S$11,H9&lt;=$T$11),$U$11,IF(AND(H9&gt;=$S$12,H9&lt;=$T$12),$U$12,0)))))),"")</f>
        <v>B+</v>
      </c>
      <c r="K9" s="127">
        <f t="shared" ref="K9:K17" si="2">IF(F9&lt;&gt;"",IF(AND(H9&gt;=$S$7,H9&lt;=$T$7),$V$7,IF(AND(H9&gt;=$S$8,H9&lt;=$T$8),$V$8,IF(AND(H9&gt;=$S$9,H9&lt;=$T$9),$V$9,IF(AND(H9&gt;=$S$10,H9&lt;=$T$10),$V$10,IF(AND(H9&gt;=$S$11,H9&lt;=$T$11),$V$11,IF(AND(H9&gt;=$S$12,H9&lt;=$T$12),$V$12,0)))))),"")</f>
        <v>7</v>
      </c>
      <c r="L9" s="123">
        <f>IF(F9&lt;&gt;"",3,"")</f>
        <v>3</v>
      </c>
      <c r="M9" s="122"/>
      <c r="N9" s="128"/>
      <c r="O9" s="129"/>
      <c r="P9" s="130"/>
      <c r="Q9" s="133"/>
      <c r="S9" s="134">
        <v>71</v>
      </c>
      <c r="T9" s="134">
        <v>80</v>
      </c>
      <c r="U9" s="134" t="s">
        <v>14</v>
      </c>
      <c r="V9" s="134">
        <v>8</v>
      </c>
      <c r="W9" s="121" t="s">
        <v>15</v>
      </c>
    </row>
    <row r="10" spans="1:23" ht="13.5" customHeight="1" thickBot="1" x14ac:dyDescent="0.3">
      <c r="A10" s="122"/>
      <c r="B10" s="122"/>
      <c r="C10" s="122"/>
      <c r="D10" s="123" t="s">
        <v>52</v>
      </c>
      <c r="E10" s="124" t="str">
        <f>VLOOKUP(D10,'Course data'!$C$4:$H$65,2,FALSE)</f>
        <v>Engineering Physics</v>
      </c>
      <c r="F10" s="123">
        <v>40</v>
      </c>
      <c r="G10" s="123">
        <v>38</v>
      </c>
      <c r="H10" s="123">
        <f t="shared" si="0"/>
        <v>78</v>
      </c>
      <c r="I10" s="125"/>
      <c r="J10" s="126" t="str">
        <f t="shared" si="1"/>
        <v>A</v>
      </c>
      <c r="K10" s="127">
        <f t="shared" si="2"/>
        <v>8</v>
      </c>
      <c r="L10" s="123">
        <f>IF(F10&lt;&gt;"",3,"")</f>
        <v>3</v>
      </c>
      <c r="M10" s="122"/>
      <c r="N10" s="128"/>
      <c r="O10" s="129"/>
      <c r="P10" s="130"/>
      <c r="Q10" s="133"/>
      <c r="S10" s="135">
        <v>61</v>
      </c>
      <c r="T10" s="135">
        <v>70</v>
      </c>
      <c r="U10" s="135" t="s">
        <v>16</v>
      </c>
      <c r="V10" s="135">
        <v>7</v>
      </c>
      <c r="W10" s="121" t="s">
        <v>17</v>
      </c>
    </row>
    <row r="11" spans="1:23" ht="13.5" customHeight="1" thickBot="1" x14ac:dyDescent="0.3">
      <c r="A11" s="122"/>
      <c r="B11" s="122"/>
      <c r="C11" s="122"/>
      <c r="D11" s="123" t="s">
        <v>54</v>
      </c>
      <c r="E11" s="124" t="str">
        <f>VLOOKUP(D11,'Course data'!$C$4:$H$65,2,FALSE)</f>
        <v>Engineering Chemistry</v>
      </c>
      <c r="F11" s="123">
        <v>30</v>
      </c>
      <c r="G11" s="123">
        <v>25</v>
      </c>
      <c r="H11" s="123">
        <f t="shared" si="0"/>
        <v>55</v>
      </c>
      <c r="I11" s="125"/>
      <c r="J11" s="126" t="str">
        <f t="shared" si="1"/>
        <v>B</v>
      </c>
      <c r="K11" s="127">
        <f t="shared" si="2"/>
        <v>6</v>
      </c>
      <c r="L11" s="123">
        <f>IF(F11&lt;&gt;"",3,"")</f>
        <v>3</v>
      </c>
      <c r="M11" s="122"/>
      <c r="N11" s="128"/>
      <c r="O11" s="129"/>
      <c r="P11" s="130"/>
      <c r="Q11" s="133"/>
      <c r="S11" s="136">
        <v>51</v>
      </c>
      <c r="T11" s="136">
        <v>60</v>
      </c>
      <c r="U11" s="136" t="s">
        <v>18</v>
      </c>
      <c r="V11" s="136">
        <v>6</v>
      </c>
      <c r="W11" s="121" t="s">
        <v>19</v>
      </c>
    </row>
    <row r="12" spans="1:23" ht="13.5" customHeight="1" thickBot="1" x14ac:dyDescent="0.3">
      <c r="A12" s="122"/>
      <c r="B12" s="122"/>
      <c r="C12" s="122"/>
      <c r="D12" s="123" t="s">
        <v>56</v>
      </c>
      <c r="E12" s="124" t="str">
        <f>VLOOKUP(D12,'Course data'!$C$4:$H$65,2,FALSE)</f>
        <v>Engineering Graphics</v>
      </c>
      <c r="F12" s="123">
        <v>35</v>
      </c>
      <c r="G12" s="123">
        <v>30</v>
      </c>
      <c r="H12" s="123">
        <f t="shared" si="0"/>
        <v>65</v>
      </c>
      <c r="I12" s="125"/>
      <c r="J12" s="126" t="str">
        <f t="shared" si="1"/>
        <v>B+</v>
      </c>
      <c r="K12" s="127">
        <f t="shared" si="2"/>
        <v>7</v>
      </c>
      <c r="L12" s="123">
        <f>IF(F12&lt;&gt;"",4,"")</f>
        <v>4</v>
      </c>
      <c r="M12" s="122"/>
      <c r="N12" s="128"/>
      <c r="O12" s="129"/>
      <c r="P12" s="130"/>
      <c r="Q12" s="133"/>
      <c r="S12" s="137">
        <v>50</v>
      </c>
      <c r="T12" s="137">
        <v>0</v>
      </c>
      <c r="U12" s="137" t="s">
        <v>20</v>
      </c>
      <c r="V12" s="137">
        <v>0</v>
      </c>
      <c r="W12" s="121" t="s">
        <v>21</v>
      </c>
    </row>
    <row r="13" spans="1:23" ht="13.5" customHeight="1" thickBot="1" x14ac:dyDescent="0.3">
      <c r="A13" s="122"/>
      <c r="B13" s="122"/>
      <c r="C13" s="122"/>
      <c r="D13" s="123" t="s">
        <v>58</v>
      </c>
      <c r="E13" s="124" t="str">
        <f>VLOOKUP(D13,'Course data'!$C$4:$H$65,2,FALSE)</f>
        <v>Computing Techniques</v>
      </c>
      <c r="F13" s="123">
        <v>19</v>
      </c>
      <c r="G13" s="123">
        <v>25</v>
      </c>
      <c r="H13" s="123">
        <f t="shared" si="0"/>
        <v>44</v>
      </c>
      <c r="I13" s="125"/>
      <c r="J13" s="126">
        <f t="shared" si="1"/>
        <v>0</v>
      </c>
      <c r="K13" s="127">
        <f t="shared" si="2"/>
        <v>0</v>
      </c>
      <c r="L13" s="123">
        <f>IF(F13&lt;&gt;"",3,"")</f>
        <v>3</v>
      </c>
      <c r="M13" s="122"/>
      <c r="N13" s="128"/>
      <c r="O13" s="129"/>
      <c r="P13" s="130"/>
      <c r="Q13" s="133"/>
      <c r="S13" s="138" t="s">
        <v>22</v>
      </c>
      <c r="T13" s="138"/>
      <c r="U13" s="138" t="s">
        <v>23</v>
      </c>
      <c r="V13" s="138">
        <v>0</v>
      </c>
      <c r="W13" s="138" t="s">
        <v>24</v>
      </c>
    </row>
    <row r="14" spans="1:23" ht="13.5" customHeight="1" thickBot="1" x14ac:dyDescent="0.3">
      <c r="A14" s="122"/>
      <c r="B14" s="122"/>
      <c r="C14" s="122" t="s">
        <v>60</v>
      </c>
      <c r="D14" s="123" t="s">
        <v>61</v>
      </c>
      <c r="E14" s="124" t="str">
        <f>VLOOKUP(D14,'Course data'!$C$4:$H$65,2,FALSE)</f>
        <v>Physics Laboratory</v>
      </c>
      <c r="F14" s="123">
        <v>23</v>
      </c>
      <c r="G14" s="123">
        <v>27</v>
      </c>
      <c r="H14" s="123">
        <f t="shared" si="0"/>
        <v>50</v>
      </c>
      <c r="I14" s="125"/>
      <c r="J14" s="126">
        <f t="shared" si="1"/>
        <v>0</v>
      </c>
      <c r="K14" s="127">
        <f t="shared" si="2"/>
        <v>0</v>
      </c>
      <c r="L14" s="123">
        <f>IF(F14&lt;&gt;"",1,"")</f>
        <v>1</v>
      </c>
      <c r="M14" s="122"/>
      <c r="N14" s="128"/>
      <c r="O14" s="129"/>
      <c r="P14" s="130"/>
      <c r="Q14" s="133"/>
      <c r="S14" s="138" t="s">
        <v>22</v>
      </c>
      <c r="T14" s="138"/>
      <c r="U14" s="138" t="s">
        <v>25</v>
      </c>
      <c r="V14" s="138">
        <v>0</v>
      </c>
      <c r="W14" s="138" t="s">
        <v>26</v>
      </c>
    </row>
    <row r="15" spans="1:23" ht="12.75" customHeight="1" x14ac:dyDescent="0.25">
      <c r="A15" s="122"/>
      <c r="B15" s="122"/>
      <c r="C15" s="122"/>
      <c r="D15" s="123" t="s">
        <v>63</v>
      </c>
      <c r="E15" s="124" t="str">
        <f>VLOOKUP(D15,'Course data'!$C$4:$H$65,2,FALSE)</f>
        <v>Chemistry Laboratory</v>
      </c>
      <c r="F15" s="123">
        <v>38</v>
      </c>
      <c r="G15" s="123">
        <v>30</v>
      </c>
      <c r="H15" s="123">
        <f t="shared" si="0"/>
        <v>68</v>
      </c>
      <c r="I15" s="125"/>
      <c r="J15" s="126" t="str">
        <f t="shared" si="1"/>
        <v>B+</v>
      </c>
      <c r="K15" s="127">
        <f t="shared" si="2"/>
        <v>7</v>
      </c>
      <c r="L15" s="123">
        <f>IF(F15&lt;&gt;"",1,"")</f>
        <v>1</v>
      </c>
      <c r="M15" s="122"/>
      <c r="N15" s="128"/>
      <c r="O15" s="129"/>
      <c r="P15" s="130"/>
      <c r="Q15" s="133"/>
    </row>
    <row r="16" spans="1:23" ht="12.75" customHeight="1" x14ac:dyDescent="0.25">
      <c r="A16" s="122"/>
      <c r="B16" s="122"/>
      <c r="C16" s="122"/>
      <c r="D16" s="123" t="s">
        <v>65</v>
      </c>
      <c r="E16" s="124" t="str">
        <f>VLOOKUP(D16,'Course data'!$C$4:$H$65,2,FALSE)</f>
        <v>Engineering Practices Laboratory</v>
      </c>
      <c r="F16" s="123">
        <v>30</v>
      </c>
      <c r="G16" s="123">
        <v>25</v>
      </c>
      <c r="H16" s="123">
        <f t="shared" si="0"/>
        <v>55</v>
      </c>
      <c r="I16" s="125"/>
      <c r="J16" s="126" t="str">
        <f t="shared" si="1"/>
        <v>B</v>
      </c>
      <c r="K16" s="127">
        <f t="shared" si="2"/>
        <v>6</v>
      </c>
      <c r="L16" s="123">
        <f>IF(F16&lt;&gt;"",2,"")</f>
        <v>2</v>
      </c>
      <c r="M16" s="122"/>
      <c r="N16" s="128"/>
      <c r="O16" s="129"/>
      <c r="P16" s="130"/>
      <c r="Q16" s="133"/>
      <c r="S16" s="139" t="s">
        <v>36</v>
      </c>
      <c r="T16" s="140"/>
      <c r="U16" s="141"/>
      <c r="V16" s="142" t="s">
        <v>34</v>
      </c>
      <c r="W16" s="143"/>
    </row>
    <row r="17" spans="1:23" ht="12.75" customHeight="1" x14ac:dyDescent="0.25">
      <c r="A17" s="122"/>
      <c r="B17" s="122"/>
      <c r="C17" s="122"/>
      <c r="D17" s="123" t="s">
        <v>67</v>
      </c>
      <c r="E17" s="124" t="str">
        <f>VLOOKUP(D17,'Course data'!$C$4:$H$65,2,FALSE)</f>
        <v>Computer Practice Laboratory</v>
      </c>
      <c r="F17" s="123">
        <v>28</v>
      </c>
      <c r="G17" s="123">
        <v>37</v>
      </c>
      <c r="H17" s="123">
        <f t="shared" si="0"/>
        <v>65</v>
      </c>
      <c r="I17" s="125"/>
      <c r="J17" s="126" t="str">
        <f t="shared" si="1"/>
        <v>B+</v>
      </c>
      <c r="K17" s="127">
        <f t="shared" si="2"/>
        <v>7</v>
      </c>
      <c r="L17" s="123">
        <f>IF(F17&lt;&gt;"",2,"")</f>
        <v>2</v>
      </c>
      <c r="M17" s="122"/>
      <c r="N17" s="128"/>
      <c r="O17" s="129"/>
      <c r="P17" s="130"/>
      <c r="Q17" s="144"/>
      <c r="S17" s="139" t="s">
        <v>37</v>
      </c>
      <c r="T17" s="140"/>
      <c r="U17" s="141"/>
      <c r="V17" s="145" t="s">
        <v>35</v>
      </c>
      <c r="W17" s="145"/>
    </row>
    <row r="18" spans="1:23" ht="12.75" customHeight="1" x14ac:dyDescent="0.25">
      <c r="A18" s="122"/>
      <c r="B18" s="122">
        <v>2</v>
      </c>
      <c r="C18" s="122" t="s">
        <v>47</v>
      </c>
      <c r="D18" s="123" t="s">
        <v>70</v>
      </c>
      <c r="E18" s="124" t="str">
        <f>VLOOKUP(D18,'Course data'!$C$4:$H$65,2,FALSE)</f>
        <v>Technical English II</v>
      </c>
      <c r="F18" s="123">
        <v>38</v>
      </c>
      <c r="G18" s="123">
        <v>34</v>
      </c>
      <c r="H18" s="123">
        <f t="shared" si="0"/>
        <v>72</v>
      </c>
      <c r="I18" s="146">
        <f>IF(F18&lt;&gt;"",AVERAGE(H18:H25),"")</f>
        <v>69.625</v>
      </c>
      <c r="J18" s="126" t="str">
        <f>IF(F18&lt;&gt;"",IF(AND(H18&gt;=$S$7,H18&lt;=$T$7),$U$7,IF(AND(H18&gt;=$S$8,H18&lt;=$T$8),$U$8,IF(AND(H18&gt;=$S$9,H18&lt;=$T$9),$U$9,IF(AND(H18&gt;=$S$10,H18&lt;=$T$10),$U$10,IF(AND(H18&gt;=$S$11,H18&lt;=$T$11),$U$11,IF(AND(H18&gt;=$S$12,H18&lt;=$T$12),$U$12,0)))))),"")</f>
        <v>A</v>
      </c>
      <c r="K18" s="127">
        <f>IF(F18&lt;&gt;"",IF(AND(H18&gt;=$S$7,H18&lt;=$T$7),$V$7,IF(AND(H18&gt;=$S$8,H18&lt;=$T$8),$V$8,IF(AND(H18&gt;=$S$9,H18&lt;=$T$9),$V$9,IF(AND(H18&gt;=$S$10,H18&lt;=$T$10),$V$10,IF(AND(H18&gt;=$S$11,H18&lt;=$T$11),$V$11,IF(AND(H18&gt;=$S$12,H18&lt;=$T$12),$V$12,0)))))),"")</f>
        <v>8</v>
      </c>
      <c r="L18" s="123">
        <f t="shared" ref="L18:L19" si="3">IF(F18&lt;&gt;"",4,"")</f>
        <v>4</v>
      </c>
      <c r="M18" s="131">
        <f>IF(F18&lt;&gt;"",SUM(L18:L25),"")</f>
        <v>24</v>
      </c>
      <c r="N18" s="147">
        <f>IF(F18&lt;&gt;"",SUMPRODUCT(K18:K25,L18:L25)/M18,"")</f>
        <v>6.5</v>
      </c>
      <c r="O18" s="148">
        <f>IF(F18&lt;&gt;"",SUM(M8:M25),"")</f>
        <v>50</v>
      </c>
      <c r="P18" s="149">
        <f>IF(F18&lt;&gt;"",SUMPRODUCT(M8:M25,N8:N25)/O18,"")</f>
        <v>6.24</v>
      </c>
      <c r="Q18" s="131"/>
    </row>
    <row r="19" spans="1:23" ht="12.75" customHeight="1" x14ac:dyDescent="0.25">
      <c r="A19" s="122"/>
      <c r="B19" s="122"/>
      <c r="C19" s="122"/>
      <c r="D19" s="123" t="s">
        <v>72</v>
      </c>
      <c r="E19" s="124" t="str">
        <f>VLOOKUP(D19,'Course data'!$C$4:$H$65,2,FALSE)</f>
        <v>Mathematics II</v>
      </c>
      <c r="F19" s="123">
        <v>21</v>
      </c>
      <c r="G19" s="123">
        <v>28</v>
      </c>
      <c r="H19" s="123">
        <f t="shared" si="0"/>
        <v>49</v>
      </c>
      <c r="I19" s="150"/>
      <c r="J19" s="126">
        <f t="shared" ref="J19:J25" si="4">IF(F19&lt;&gt;"",IF(AND(H19&gt;=$S$7,H19&lt;=$T$7),$U$7,IF(AND(H19&gt;=$S$8,H19&lt;=$T$8),$U$8,IF(AND(H19&gt;=$S$9,H19&lt;=$T$9),$U$9,IF(AND(H19&gt;=$S$10,H19&lt;=$T$10),$U$10,IF(AND(H19&gt;=$S$11,H19&lt;=$T$11),$U$11,IF(AND(H19&gt;=$S$12,H19&lt;=$T$12),$U$12,0)))))),"")</f>
        <v>0</v>
      </c>
      <c r="K19" s="127">
        <f t="shared" ref="K19:K25" si="5">IF(F19&lt;&gt;"",IF(AND(H19&gt;=$S$7,H19&lt;=$T$7),$V$7,IF(AND(H19&gt;=$S$8,H19&lt;=$T$8),$V$8,IF(AND(H19&gt;=$S$9,H19&lt;=$T$9),$V$9,IF(AND(H19&gt;=$S$10,H19&lt;=$T$10),$V$10,IF(AND(H19&gt;=$S$11,H19&lt;=$T$11),$V$11,IF(AND(H19&gt;=$S$12,H19&lt;=$T$12),$V$12,0)))))),"")</f>
        <v>0</v>
      </c>
      <c r="L19" s="123">
        <f t="shared" si="3"/>
        <v>4</v>
      </c>
      <c r="M19" s="133"/>
      <c r="N19" s="151"/>
      <c r="O19" s="152"/>
      <c r="P19" s="153"/>
      <c r="Q19" s="133"/>
    </row>
    <row r="20" spans="1:23" ht="12.75" customHeight="1" x14ac:dyDescent="0.25">
      <c r="A20" s="122"/>
      <c r="B20" s="122"/>
      <c r="C20" s="122"/>
      <c r="D20" s="123" t="s">
        <v>74</v>
      </c>
      <c r="E20" s="124" t="str">
        <f>VLOOKUP(D20,'Course data'!$C$4:$H$65,2,FALSE)</f>
        <v>Physics for Information Science</v>
      </c>
      <c r="F20" s="123">
        <v>29</v>
      </c>
      <c r="G20" s="123">
        <v>35</v>
      </c>
      <c r="H20" s="123">
        <f t="shared" si="0"/>
        <v>64</v>
      </c>
      <c r="I20" s="150"/>
      <c r="J20" s="126" t="str">
        <f t="shared" si="4"/>
        <v>B+</v>
      </c>
      <c r="K20" s="127">
        <f t="shared" si="5"/>
        <v>7</v>
      </c>
      <c r="L20" s="123">
        <f>IF(F20&lt;&gt;"",3,"")</f>
        <v>3</v>
      </c>
      <c r="M20" s="133"/>
      <c r="N20" s="151"/>
      <c r="O20" s="152"/>
      <c r="P20" s="153"/>
      <c r="Q20" s="133"/>
    </row>
    <row r="21" spans="1:23" ht="15" customHeight="1" x14ac:dyDescent="0.25">
      <c r="A21" s="122"/>
      <c r="B21" s="122"/>
      <c r="C21" s="122"/>
      <c r="D21" s="123" t="s">
        <v>76</v>
      </c>
      <c r="E21" s="124" t="str">
        <f>VLOOKUP(D21,'Course data'!$C$4:$H$65,2,FALSE)</f>
        <v>Principles of Computer Engineering</v>
      </c>
      <c r="F21" s="123">
        <v>49</v>
      </c>
      <c r="G21" s="123">
        <v>47</v>
      </c>
      <c r="H21" s="123">
        <f t="shared" si="0"/>
        <v>96</v>
      </c>
      <c r="I21" s="150"/>
      <c r="J21" s="126" t="str">
        <f t="shared" si="4"/>
        <v>O</v>
      </c>
      <c r="K21" s="127">
        <f t="shared" si="5"/>
        <v>10</v>
      </c>
      <c r="L21" s="123">
        <f t="shared" ref="L21:L23" si="6">IF(F21&lt;&gt;"",3,"")</f>
        <v>3</v>
      </c>
      <c r="M21" s="133"/>
      <c r="N21" s="151"/>
      <c r="O21" s="152"/>
      <c r="P21" s="153"/>
      <c r="Q21" s="133"/>
      <c r="R21" s="154"/>
    </row>
    <row r="22" spans="1:23" ht="12.75" customHeight="1" x14ac:dyDescent="0.25">
      <c r="A22" s="122"/>
      <c r="B22" s="122"/>
      <c r="C22" s="122"/>
      <c r="D22" s="123" t="s">
        <v>78</v>
      </c>
      <c r="E22" s="124" t="str">
        <f>VLOOKUP(D22,'Course data'!$C$4:$H$65,2,FALSE)</f>
        <v>Programming using C++</v>
      </c>
      <c r="F22" s="123">
        <v>30</v>
      </c>
      <c r="G22" s="123">
        <v>25</v>
      </c>
      <c r="H22" s="123">
        <f t="shared" si="0"/>
        <v>55</v>
      </c>
      <c r="I22" s="150"/>
      <c r="J22" s="126" t="str">
        <f t="shared" si="4"/>
        <v>B</v>
      </c>
      <c r="K22" s="127">
        <f t="shared" si="5"/>
        <v>6</v>
      </c>
      <c r="L22" s="123">
        <f t="shared" si="6"/>
        <v>3</v>
      </c>
      <c r="M22" s="133"/>
      <c r="N22" s="151"/>
      <c r="O22" s="152"/>
      <c r="P22" s="153"/>
      <c r="Q22" s="133"/>
    </row>
    <row r="23" spans="1:23" ht="15" customHeight="1" x14ac:dyDescent="0.25">
      <c r="A23" s="122"/>
      <c r="B23" s="122"/>
      <c r="C23" s="122"/>
      <c r="D23" s="123" t="s">
        <v>80</v>
      </c>
      <c r="E23" s="124" t="str">
        <f>VLOOKUP(D23,'Course data'!$C$4:$H$65,2,FALSE)</f>
        <v>Digital Principles and System Design</v>
      </c>
      <c r="F23" s="123">
        <v>47</v>
      </c>
      <c r="G23" s="123">
        <v>42</v>
      </c>
      <c r="H23" s="123">
        <f t="shared" si="0"/>
        <v>89</v>
      </c>
      <c r="I23" s="150"/>
      <c r="J23" s="126" t="str">
        <f t="shared" si="4"/>
        <v>A+</v>
      </c>
      <c r="K23" s="127">
        <f t="shared" si="5"/>
        <v>9</v>
      </c>
      <c r="L23" s="123">
        <f t="shared" si="6"/>
        <v>3</v>
      </c>
      <c r="M23" s="133"/>
      <c r="N23" s="151"/>
      <c r="O23" s="152"/>
      <c r="P23" s="153"/>
      <c r="Q23" s="133"/>
      <c r="U23" s="155"/>
      <c r="V23" s="155"/>
      <c r="W23" s="155"/>
    </row>
    <row r="24" spans="1:23" x14ac:dyDescent="0.25">
      <c r="A24" s="122"/>
      <c r="B24" s="122"/>
      <c r="C24" s="122" t="s">
        <v>60</v>
      </c>
      <c r="D24" s="123" t="s">
        <v>82</v>
      </c>
      <c r="E24" s="124" t="str">
        <f>VLOOKUP(D24,'Course data'!$C$4:$H$65,2,FALSE)</f>
        <v>Programming Laboratory </v>
      </c>
      <c r="F24" s="123">
        <v>50</v>
      </c>
      <c r="G24" s="123">
        <v>25</v>
      </c>
      <c r="H24" s="123">
        <f t="shared" si="0"/>
        <v>75</v>
      </c>
      <c r="I24" s="150"/>
      <c r="J24" s="126" t="str">
        <f t="shared" si="4"/>
        <v>A</v>
      </c>
      <c r="K24" s="127">
        <f t="shared" si="5"/>
        <v>8</v>
      </c>
      <c r="L24" s="123">
        <f t="shared" ref="L24:L25" si="7">IF(F24&lt;&gt;"",2,"")</f>
        <v>2</v>
      </c>
      <c r="M24" s="133"/>
      <c r="N24" s="151"/>
      <c r="O24" s="152"/>
      <c r="P24" s="153"/>
      <c r="Q24" s="133"/>
      <c r="U24" s="155"/>
      <c r="V24" s="155"/>
      <c r="W24" s="155"/>
    </row>
    <row r="25" spans="1:23" x14ac:dyDescent="0.25">
      <c r="A25" s="122"/>
      <c r="B25" s="122"/>
      <c r="C25" s="122"/>
      <c r="D25" s="123" t="s">
        <v>84</v>
      </c>
      <c r="E25" s="124" t="str">
        <f>VLOOKUP(D25,'Course data'!$C$4:$H$65,2,FALSE)</f>
        <v>Digital Laboratory</v>
      </c>
      <c r="F25" s="123">
        <v>35</v>
      </c>
      <c r="G25" s="123">
        <v>22</v>
      </c>
      <c r="H25" s="123">
        <f t="shared" si="0"/>
        <v>57</v>
      </c>
      <c r="I25" s="156"/>
      <c r="J25" s="126" t="str">
        <f t="shared" si="4"/>
        <v>B</v>
      </c>
      <c r="K25" s="127">
        <f t="shared" si="5"/>
        <v>6</v>
      </c>
      <c r="L25" s="123">
        <f t="shared" si="7"/>
        <v>2</v>
      </c>
      <c r="M25" s="144"/>
      <c r="N25" s="157"/>
      <c r="O25" s="158"/>
      <c r="P25" s="159"/>
      <c r="Q25" s="144"/>
      <c r="U25" s="155"/>
      <c r="V25" s="155"/>
      <c r="W25" s="155"/>
    </row>
    <row r="26" spans="1:23" ht="15" customHeight="1" x14ac:dyDescent="0.25">
      <c r="A26" s="122">
        <v>2</v>
      </c>
      <c r="B26" s="122">
        <v>3</v>
      </c>
      <c r="C26" s="122" t="s">
        <v>47</v>
      </c>
      <c r="D26" s="123" t="s">
        <v>86</v>
      </c>
      <c r="E26" s="124" t="str">
        <f>VLOOKUP(D26,'Course data'!$C$4:$H$65,2,FALSE)</f>
        <v>Algebra &amp; Number Theory</v>
      </c>
      <c r="F26" s="123">
        <v>19</v>
      </c>
      <c r="G26" s="123">
        <v>25</v>
      </c>
      <c r="H26" s="123">
        <f t="shared" si="0"/>
        <v>44</v>
      </c>
      <c r="I26" s="146">
        <f>IF(F26&lt;&gt;"",AVERAGE(H26:H33),"")</f>
        <v>78.875</v>
      </c>
      <c r="J26" s="126">
        <f>IF(F26&lt;&gt;"",IF(AND(H26&gt;=$S$7,H26&lt;=$T$7),$U$7,IF(AND(H26&gt;=$S$8,H26&lt;=$T$8),$U$8,IF(AND(H26&gt;=$S$9,H26&lt;=$T$9),$U$9,IF(AND(H26&gt;=$S$10,H26&lt;=$T$10),$U$10,IF(AND(H26&gt;=$S$11,H26&lt;=$T$11),$U$11,IF(AND(H26&gt;=$S$12,H26&lt;=$T$12),$U$12,0)))))),"")</f>
        <v>0</v>
      </c>
      <c r="K26" s="127">
        <f>IF(F26&lt;&gt;"",IF(AND(H26&gt;=$S$7,H26&lt;=$T$7),$V$7,IF(AND(H26&gt;=$S$8,H26&lt;=$T$8),$V$8,IF(AND(H26&gt;=$S$9,H26&lt;=$T$9),$V$9,IF(AND(H26&gt;=$S$10,H26&lt;=$T$10),$V$10,IF(AND(H26&gt;=$S$11,H26&lt;=$T$11),$V$11,IF(AND(H26&gt;=$S$12,H26&lt;=$T$12),$V$12,0)))))),"")</f>
        <v>0</v>
      </c>
      <c r="L26" s="123">
        <f>IF(F26&lt;&gt;"",4,"")</f>
        <v>4</v>
      </c>
      <c r="M26" s="131">
        <f>IF(F26&lt;&gt;"",SUM(L26:L33),"")</f>
        <v>24</v>
      </c>
      <c r="N26" s="147">
        <f>IF(F26&lt;&gt;"",SUMPRODUCT(K26:K33,L26:L33)/M26,"")</f>
        <v>7.458333333333333</v>
      </c>
      <c r="O26" s="148">
        <f>IF(F26&lt;&gt;"",SUM(M8:M33),"")</f>
        <v>74</v>
      </c>
      <c r="P26" s="149">
        <f>IF(F26&lt;&gt;"",SUMPRODUCT(M8:M33,N8:N33)/O26,"")</f>
        <v>6.6351351351351351</v>
      </c>
      <c r="Q26" s="131"/>
      <c r="U26" s="155"/>
      <c r="V26" s="155"/>
      <c r="W26" s="155"/>
    </row>
    <row r="27" spans="1:23" ht="34.5" x14ac:dyDescent="0.25">
      <c r="A27" s="122"/>
      <c r="B27" s="122"/>
      <c r="C27" s="122"/>
      <c r="D27" s="123" t="s">
        <v>88</v>
      </c>
      <c r="E27" s="124" t="str">
        <f>VLOOKUP(D27,'Course data'!$C$4:$H$65,2,FALSE)</f>
        <v>Electronic Devices and Circuits for Computer Engineers</v>
      </c>
      <c r="F27" s="123">
        <v>38</v>
      </c>
      <c r="G27" s="123">
        <v>43</v>
      </c>
      <c r="H27" s="123">
        <f t="shared" si="0"/>
        <v>81</v>
      </c>
      <c r="I27" s="150"/>
      <c r="J27" s="126" t="str">
        <f t="shared" ref="J27:J33" si="8">IF(F27&lt;&gt;"",IF(AND(H27&gt;=$S$7,H27&lt;=$T$7),$U$7,IF(AND(H27&gt;=$S$8,H27&lt;=$T$8),$U$8,IF(AND(H27&gt;=$S$9,H27&lt;=$T$9),$U$9,IF(AND(H27&gt;=$S$10,H27&lt;=$T$10),$U$10,IF(AND(H27&gt;=$S$11,H27&lt;=$T$11),$U$11,IF(AND(H27&gt;=$S$12,H27&lt;=$T$12),$U$12,0)))))),"")</f>
        <v>A+</v>
      </c>
      <c r="K27" s="127">
        <f t="shared" ref="K27:K33" si="9">IF(F27&lt;&gt;"",IF(AND(H27&gt;=$S$7,H27&lt;=$T$7),$V$7,IF(AND(H27&gt;=$S$8,H27&lt;=$T$8),$V$8,IF(AND(H27&gt;=$S$9,H27&lt;=$T$9),$V$9,IF(AND(H27&gt;=$S$10,H27&lt;=$T$10),$V$10,IF(AND(H27&gt;=$S$11,H27&lt;=$T$11),$V$11,IF(AND(H27&gt;=$S$12,H27&lt;=$T$12),$V$12,0)))))),"")</f>
        <v>9</v>
      </c>
      <c r="L27" s="123">
        <f t="shared" ref="L27:L30" si="10">IF(F27&lt;&gt;"",3,"")</f>
        <v>3</v>
      </c>
      <c r="M27" s="133"/>
      <c r="N27" s="151"/>
      <c r="O27" s="152"/>
      <c r="P27" s="153"/>
      <c r="Q27" s="133"/>
      <c r="U27" s="155"/>
      <c r="V27" s="155"/>
      <c r="W27" s="155"/>
    </row>
    <row r="28" spans="1:23" ht="15" customHeight="1" x14ac:dyDescent="0.25">
      <c r="A28" s="122"/>
      <c r="B28" s="122"/>
      <c r="C28" s="122"/>
      <c r="D28" s="123" t="s">
        <v>90</v>
      </c>
      <c r="E28" s="124" t="str">
        <f>VLOOKUP(D28,'Course data'!$C$4:$H$65,2,FALSE)</f>
        <v>Data Structures</v>
      </c>
      <c r="F28" s="123">
        <v>45</v>
      </c>
      <c r="G28" s="123">
        <v>49</v>
      </c>
      <c r="H28" s="123">
        <f t="shared" si="0"/>
        <v>94</v>
      </c>
      <c r="I28" s="150"/>
      <c r="J28" s="126" t="str">
        <f t="shared" si="8"/>
        <v>O</v>
      </c>
      <c r="K28" s="127">
        <f t="shared" si="9"/>
        <v>10</v>
      </c>
      <c r="L28" s="123">
        <f t="shared" si="10"/>
        <v>3</v>
      </c>
      <c r="M28" s="133"/>
      <c r="N28" s="151"/>
      <c r="O28" s="152"/>
      <c r="P28" s="153"/>
      <c r="Q28" s="133"/>
      <c r="U28" s="155"/>
      <c r="V28" s="155"/>
      <c r="W28" s="155"/>
    </row>
    <row r="29" spans="1:23" ht="15" customHeight="1" x14ac:dyDescent="0.25">
      <c r="A29" s="122"/>
      <c r="B29" s="122"/>
      <c r="C29" s="122"/>
      <c r="D29" s="123" t="s">
        <v>92</v>
      </c>
      <c r="E29" s="124" t="str">
        <f>VLOOKUP(D29,'Course data'!$C$4:$H$65,2,FALSE)</f>
        <v>Database Management Systems</v>
      </c>
      <c r="F29" s="123">
        <v>35</v>
      </c>
      <c r="G29" s="123">
        <v>27</v>
      </c>
      <c r="H29" s="123">
        <f t="shared" si="0"/>
        <v>62</v>
      </c>
      <c r="I29" s="150"/>
      <c r="J29" s="126" t="str">
        <f t="shared" si="8"/>
        <v>B+</v>
      </c>
      <c r="K29" s="127">
        <f t="shared" si="9"/>
        <v>7</v>
      </c>
      <c r="L29" s="123">
        <f t="shared" si="10"/>
        <v>3</v>
      </c>
      <c r="M29" s="133"/>
      <c r="N29" s="151"/>
      <c r="O29" s="152"/>
      <c r="P29" s="153"/>
      <c r="Q29" s="133"/>
      <c r="U29" s="155"/>
      <c r="V29" s="155"/>
      <c r="W29" s="155"/>
    </row>
    <row r="30" spans="1:23" ht="15" customHeight="1" x14ac:dyDescent="0.25">
      <c r="A30" s="122"/>
      <c r="B30" s="122"/>
      <c r="C30" s="122"/>
      <c r="D30" s="123" t="s">
        <v>94</v>
      </c>
      <c r="E30" s="124" t="str">
        <f>VLOOKUP(D30,'Course data'!$C$4:$H$65,2,FALSE)</f>
        <v>Environmental Science &amp; Engineering</v>
      </c>
      <c r="F30" s="123">
        <v>41</v>
      </c>
      <c r="G30" s="123">
        <v>43</v>
      </c>
      <c r="H30" s="123">
        <f t="shared" si="0"/>
        <v>84</v>
      </c>
      <c r="I30" s="150"/>
      <c r="J30" s="126" t="str">
        <f t="shared" si="8"/>
        <v>A+</v>
      </c>
      <c r="K30" s="127">
        <f t="shared" si="9"/>
        <v>9</v>
      </c>
      <c r="L30" s="123">
        <f t="shared" si="10"/>
        <v>3</v>
      </c>
      <c r="M30" s="133"/>
      <c r="N30" s="151"/>
      <c r="O30" s="152"/>
      <c r="P30" s="153"/>
      <c r="Q30" s="133"/>
      <c r="U30" s="155"/>
      <c r="V30" s="155"/>
      <c r="W30" s="155"/>
    </row>
    <row r="31" spans="1:23" ht="15" customHeight="1" x14ac:dyDescent="0.25">
      <c r="A31" s="122"/>
      <c r="B31" s="122"/>
      <c r="C31" s="122"/>
      <c r="D31" s="123" t="s">
        <v>96</v>
      </c>
      <c r="E31" s="124" t="str">
        <f>VLOOKUP(D31,'Course data'!$C$4:$H$65,2,FALSE)</f>
        <v>Computer Architecture</v>
      </c>
      <c r="F31" s="123">
        <v>47</v>
      </c>
      <c r="G31" s="123">
        <v>35</v>
      </c>
      <c r="H31" s="123">
        <f t="shared" si="0"/>
        <v>82</v>
      </c>
      <c r="I31" s="150"/>
      <c r="J31" s="126" t="str">
        <f t="shared" si="8"/>
        <v>A+</v>
      </c>
      <c r="K31" s="127">
        <f t="shared" si="9"/>
        <v>9</v>
      </c>
      <c r="L31" s="123">
        <f>IF(F31&lt;&gt;"",4,"")</f>
        <v>4</v>
      </c>
      <c r="M31" s="133"/>
      <c r="N31" s="151"/>
      <c r="O31" s="152"/>
      <c r="P31" s="153"/>
      <c r="Q31" s="133"/>
      <c r="U31" s="155"/>
      <c r="V31" s="155"/>
      <c r="W31" s="155"/>
    </row>
    <row r="32" spans="1:23" ht="34.5" x14ac:dyDescent="0.25">
      <c r="A32" s="122"/>
      <c r="B32" s="122"/>
      <c r="C32" s="122" t="s">
        <v>60</v>
      </c>
      <c r="D32" s="123" t="s">
        <v>98</v>
      </c>
      <c r="E32" s="124" t="str">
        <f>VLOOKUP(D32,'Course data'!$C$4:$H$65,2,FALSE)</f>
        <v>  Database Management Systems Laboratory</v>
      </c>
      <c r="F32" s="123">
        <v>43</v>
      </c>
      <c r="G32" s="123">
        <v>45</v>
      </c>
      <c r="H32" s="123">
        <f t="shared" si="0"/>
        <v>88</v>
      </c>
      <c r="I32" s="150"/>
      <c r="J32" s="126" t="str">
        <f t="shared" si="8"/>
        <v>A+</v>
      </c>
      <c r="K32" s="127">
        <f t="shared" si="9"/>
        <v>9</v>
      </c>
      <c r="L32" s="123">
        <f t="shared" ref="L32:L33" si="11">IF(F32&lt;&gt;"",2,"")</f>
        <v>2</v>
      </c>
      <c r="M32" s="133"/>
      <c r="N32" s="151"/>
      <c r="O32" s="152"/>
      <c r="P32" s="153"/>
      <c r="Q32" s="133"/>
      <c r="U32" s="155"/>
      <c r="V32" s="155"/>
      <c r="W32" s="155"/>
    </row>
    <row r="33" spans="1:23" ht="15" customHeight="1" x14ac:dyDescent="0.25">
      <c r="A33" s="122"/>
      <c r="B33" s="122"/>
      <c r="C33" s="122"/>
      <c r="D33" s="123" t="s">
        <v>100</v>
      </c>
      <c r="E33" s="124" t="str">
        <f>VLOOKUP(D33,'Course data'!$C$4:$H$65,2,FALSE)</f>
        <v>Data Structures Laboratory</v>
      </c>
      <c r="F33" s="123">
        <v>49</v>
      </c>
      <c r="G33" s="123">
        <v>47</v>
      </c>
      <c r="H33" s="123">
        <f t="shared" si="0"/>
        <v>96</v>
      </c>
      <c r="I33" s="156"/>
      <c r="J33" s="126" t="str">
        <f t="shared" si="8"/>
        <v>O</v>
      </c>
      <c r="K33" s="127">
        <f t="shared" si="9"/>
        <v>10</v>
      </c>
      <c r="L33" s="123">
        <f t="shared" si="11"/>
        <v>2</v>
      </c>
      <c r="M33" s="144"/>
      <c r="N33" s="157"/>
      <c r="O33" s="158"/>
      <c r="P33" s="159"/>
      <c r="Q33" s="144"/>
      <c r="U33" s="155"/>
      <c r="V33" s="155"/>
      <c r="W33" s="155"/>
    </row>
    <row r="34" spans="1:23" ht="34.5" x14ac:dyDescent="0.25">
      <c r="A34" s="122"/>
      <c r="B34" s="122">
        <v>4</v>
      </c>
      <c r="C34" s="122" t="s">
        <v>47</v>
      </c>
      <c r="D34" s="123" t="s">
        <v>102</v>
      </c>
      <c r="E34" s="124" t="str">
        <f>VLOOKUP(D34,'Course data'!$C$4:$H$65,2,FALSE)</f>
        <v>Electrical Engineering and Control Systems</v>
      </c>
      <c r="F34" s="123">
        <v>50</v>
      </c>
      <c r="G34" s="123">
        <v>50</v>
      </c>
      <c r="H34" s="123">
        <f t="shared" si="0"/>
        <v>100</v>
      </c>
      <c r="I34" s="146">
        <f>IF(F34&lt;&gt;"",AVERAGE(H34:H41),"")</f>
        <v>74.5</v>
      </c>
      <c r="J34" s="126" t="str">
        <f>IF(F34&lt;&gt;"",IF(AND(H34&gt;=$S$7,H34&lt;=$T$7),$U$7,IF(AND(H34&gt;=$S$8,H34&lt;=$T$8),$U$8,IF(AND(H34&gt;=$S$9,H34&lt;=$T$9),$U$9,IF(AND(H34&gt;=$S$10,H34&lt;=$T$10),$U$10,IF(AND(H34&gt;=$S$11,H34&lt;=$T$11),$U$11,IF(AND(H34&gt;=$S$12,H34&lt;=$T$12),$U$12,0)))))),"")</f>
        <v>O</v>
      </c>
      <c r="K34" s="127">
        <f>IF(F34&lt;&gt;"",IF(AND(H34&gt;=$S$7,H34&lt;=$T$7),$V$7,IF(AND(H34&gt;=$S$8,H34&lt;=$T$8),$V$8,IF(AND(H34&gt;=$S$9,H34&lt;=$T$9),$V$9,IF(AND(H34&gt;=$S$10,H34&lt;=$T$10),$V$10,IF(AND(H34&gt;=$S$11,H34&lt;=$T$11),$V$11,IF(AND(H34&gt;=$S$12,H34&lt;=$T$12),$V$12,0)))))),"")</f>
        <v>10</v>
      </c>
      <c r="L34" s="123">
        <f>IF(F34&lt;&gt;"",3,"")</f>
        <v>3</v>
      </c>
      <c r="M34" s="131">
        <f>IF(F34&lt;&gt;"",SUM(L34:L41),"")</f>
        <v>25</v>
      </c>
      <c r="N34" s="147">
        <f>IF(F34&lt;&gt;"",SUMPRODUCT(K34:K41,L34:L41)/M34,"")</f>
        <v>7.68</v>
      </c>
      <c r="O34" s="148">
        <f>IF(F34&lt;&gt;"",SUM(M8:M41),"")</f>
        <v>99</v>
      </c>
      <c r="P34" s="149">
        <f>IF(F34&lt;&gt;"",SUMPRODUCT(M8:M41,N8:N41)/O34,"")</f>
        <v>6.8989898989898988</v>
      </c>
      <c r="Q34" s="131"/>
      <c r="U34" s="155"/>
      <c r="V34" s="155"/>
      <c r="W34" s="155"/>
    </row>
    <row r="35" spans="1:23" ht="15" customHeight="1" x14ac:dyDescent="0.25">
      <c r="A35" s="122"/>
      <c r="B35" s="122"/>
      <c r="C35" s="122"/>
      <c r="D35" s="123" t="s">
        <v>104</v>
      </c>
      <c r="E35" s="124" t="str">
        <f>VLOOKUP(D35,'Course data'!$C$4:$H$65,2,FALSE)</f>
        <v>Design &amp; Analysis of Algorithms</v>
      </c>
      <c r="F35" s="123">
        <v>43</v>
      </c>
      <c r="G35" s="123">
        <v>45</v>
      </c>
      <c r="H35" s="123">
        <f t="shared" si="0"/>
        <v>88</v>
      </c>
      <c r="I35" s="150"/>
      <c r="J35" s="126" t="str">
        <f t="shared" ref="J35:J41" si="12">IF(F35&lt;&gt;"",IF(AND(H35&gt;=$S$7,H35&lt;=$T$7),$U$7,IF(AND(H35&gt;=$S$8,H35&lt;=$T$8),$U$8,IF(AND(H35&gt;=$S$9,H35&lt;=$T$9),$U$9,IF(AND(H35&gt;=$S$10,H35&lt;=$T$10),$U$10,IF(AND(H35&gt;=$S$11,H35&lt;=$T$11),$U$11,IF(AND(H35&gt;=$S$12,H35&lt;=$T$12),$U$12,0)))))),"")</f>
        <v>A+</v>
      </c>
      <c r="K35" s="127">
        <f t="shared" ref="K35:K41" si="13">IF(F35&lt;&gt;"",IF(AND(H35&gt;=$S$7,H35&lt;=$T$7),$V$7,IF(AND(H35&gt;=$S$8,H35&lt;=$T$8),$V$8,IF(AND(H35&gt;=$S$9,H35&lt;=$T$9),$V$9,IF(AND(H35&gt;=$S$10,H35&lt;=$T$10),$V$10,IF(AND(H35&gt;=$S$11,H35&lt;=$T$11),$V$11,IF(AND(H35&gt;=$S$12,H35&lt;=$T$12),$V$12,0)))))),"")</f>
        <v>9</v>
      </c>
      <c r="L35" s="123">
        <f>IF(F35&lt;&gt;"",4,"")</f>
        <v>4</v>
      </c>
      <c r="M35" s="133"/>
      <c r="N35" s="151"/>
      <c r="O35" s="152"/>
      <c r="P35" s="153"/>
      <c r="Q35" s="133"/>
      <c r="U35" s="155"/>
      <c r="V35" s="155"/>
      <c r="W35" s="155"/>
    </row>
    <row r="36" spans="1:23" ht="15" customHeight="1" x14ac:dyDescent="0.25">
      <c r="A36" s="122"/>
      <c r="B36" s="122"/>
      <c r="C36" s="122"/>
      <c r="D36" s="123" t="s">
        <v>106</v>
      </c>
      <c r="E36" s="124" t="str">
        <f>VLOOKUP(D36,'Course data'!$C$4:$H$65,2,FALSE)</f>
        <v>Operating Systems</v>
      </c>
      <c r="F36" s="123">
        <v>39</v>
      </c>
      <c r="G36" s="123">
        <v>38</v>
      </c>
      <c r="H36" s="123">
        <f t="shared" si="0"/>
        <v>77</v>
      </c>
      <c r="I36" s="150"/>
      <c r="J36" s="126" t="str">
        <f t="shared" si="12"/>
        <v>A</v>
      </c>
      <c r="K36" s="127">
        <f t="shared" si="13"/>
        <v>8</v>
      </c>
      <c r="L36" s="123">
        <f>IF(F36&lt;&gt;"",3,"")</f>
        <v>3</v>
      </c>
      <c r="M36" s="133"/>
      <c r="N36" s="151"/>
      <c r="O36" s="152"/>
      <c r="P36" s="153"/>
      <c r="Q36" s="133"/>
      <c r="U36" s="155"/>
      <c r="V36" s="155"/>
      <c r="W36" s="155"/>
    </row>
    <row r="37" spans="1:23" ht="15" customHeight="1" x14ac:dyDescent="0.25">
      <c r="A37" s="122"/>
      <c r="B37" s="122"/>
      <c r="C37" s="122"/>
      <c r="D37" s="123" t="s">
        <v>108</v>
      </c>
      <c r="E37" s="124" t="str">
        <f>VLOOKUP(D37,'Course data'!$C$4:$H$65,2,FALSE)</f>
        <v>Java &amp; Internet Programming</v>
      </c>
      <c r="F37" s="123">
        <v>38</v>
      </c>
      <c r="G37" s="123">
        <v>35</v>
      </c>
      <c r="H37" s="123">
        <f t="shared" si="0"/>
        <v>73</v>
      </c>
      <c r="I37" s="150"/>
      <c r="J37" s="126" t="str">
        <f t="shared" si="12"/>
        <v>A</v>
      </c>
      <c r="K37" s="127">
        <f t="shared" si="13"/>
        <v>8</v>
      </c>
      <c r="L37" s="123">
        <f t="shared" ref="L37:L38" si="14">IF(F37&lt;&gt;"",4,"")</f>
        <v>4</v>
      </c>
      <c r="M37" s="133"/>
      <c r="N37" s="151"/>
      <c r="O37" s="152"/>
      <c r="P37" s="153"/>
      <c r="Q37" s="133"/>
      <c r="U37" s="155"/>
      <c r="V37" s="155"/>
      <c r="W37" s="155"/>
    </row>
    <row r="38" spans="1:23" ht="15" customHeight="1" x14ac:dyDescent="0.25">
      <c r="A38" s="122"/>
      <c r="B38" s="122"/>
      <c r="C38" s="122"/>
      <c r="D38" s="123" t="s">
        <v>110</v>
      </c>
      <c r="E38" s="124" t="str">
        <f>VLOOKUP(D38,'Course data'!$C$4:$H$65,2,FALSE)</f>
        <v>  Probability &amp; Queueing Theory</v>
      </c>
      <c r="F38" s="123">
        <v>49</v>
      </c>
      <c r="G38" s="123">
        <v>37</v>
      </c>
      <c r="H38" s="123">
        <f t="shared" si="0"/>
        <v>86</v>
      </c>
      <c r="I38" s="150"/>
      <c r="J38" s="126" t="str">
        <f t="shared" si="12"/>
        <v>A+</v>
      </c>
      <c r="K38" s="127">
        <f t="shared" si="13"/>
        <v>9</v>
      </c>
      <c r="L38" s="123">
        <f t="shared" si="14"/>
        <v>4</v>
      </c>
      <c r="M38" s="133"/>
      <c r="N38" s="151"/>
      <c r="O38" s="152"/>
      <c r="P38" s="153"/>
      <c r="Q38" s="133"/>
      <c r="U38" s="155"/>
      <c r="V38" s="155"/>
      <c r="W38" s="155"/>
    </row>
    <row r="39" spans="1:23" ht="15" customHeight="1" x14ac:dyDescent="0.25">
      <c r="A39" s="122"/>
      <c r="B39" s="122"/>
      <c r="C39" s="122"/>
      <c r="D39" s="123" t="s">
        <v>112</v>
      </c>
      <c r="E39" s="124" t="str">
        <f>VLOOKUP(D39,'Course data'!$C$4:$H$65,2,FALSE)</f>
        <v>Software Engineering</v>
      </c>
      <c r="F39" s="123">
        <v>30</v>
      </c>
      <c r="G39" s="123">
        <v>25</v>
      </c>
      <c r="H39" s="123">
        <f t="shared" si="0"/>
        <v>55</v>
      </c>
      <c r="I39" s="150"/>
      <c r="J39" s="126" t="str">
        <f t="shared" si="12"/>
        <v>B</v>
      </c>
      <c r="K39" s="127">
        <f t="shared" si="13"/>
        <v>6</v>
      </c>
      <c r="L39" s="123">
        <f>IF(F39&lt;&gt;"",3,"")</f>
        <v>3</v>
      </c>
      <c r="M39" s="133"/>
      <c r="N39" s="151"/>
      <c r="O39" s="152"/>
      <c r="P39" s="153"/>
      <c r="Q39" s="133"/>
      <c r="U39" s="155"/>
      <c r="V39" s="155"/>
      <c r="W39" s="155"/>
    </row>
    <row r="40" spans="1:23" ht="15" customHeight="1" x14ac:dyDescent="0.25">
      <c r="A40" s="122"/>
      <c r="B40" s="122"/>
      <c r="C40" s="122" t="s">
        <v>60</v>
      </c>
      <c r="D40" s="123" t="s">
        <v>114</v>
      </c>
      <c r="E40" s="124" t="str">
        <f>VLOOKUP(D40,'Course data'!$C$4:$H$65,2,FALSE)</f>
        <v>Java &amp; Internet Programming Laboratory</v>
      </c>
      <c r="F40" s="123">
        <v>33</v>
      </c>
      <c r="G40" s="123">
        <v>40</v>
      </c>
      <c r="H40" s="123">
        <f t="shared" si="0"/>
        <v>73</v>
      </c>
      <c r="I40" s="150"/>
      <c r="J40" s="126" t="str">
        <f t="shared" si="12"/>
        <v>A</v>
      </c>
      <c r="K40" s="127">
        <f t="shared" si="13"/>
        <v>8</v>
      </c>
      <c r="L40" s="123">
        <f t="shared" ref="L40:L41" si="15">IF(F40&lt;&gt;"",2,"")</f>
        <v>2</v>
      </c>
      <c r="M40" s="133"/>
      <c r="N40" s="151"/>
      <c r="O40" s="152"/>
      <c r="P40" s="153"/>
      <c r="Q40" s="133"/>
      <c r="U40" s="155"/>
      <c r="V40" s="155"/>
      <c r="W40" s="155"/>
    </row>
    <row r="41" spans="1:23" ht="15" customHeight="1" x14ac:dyDescent="0.25">
      <c r="A41" s="122"/>
      <c r="B41" s="122"/>
      <c r="C41" s="122"/>
      <c r="D41" s="123" t="s">
        <v>116</v>
      </c>
      <c r="E41" s="124" t="str">
        <f>VLOOKUP(D41,'Course data'!$C$4:$H$65,2,FALSE)</f>
        <v>Operating Systems Laboratory</v>
      </c>
      <c r="F41" s="123">
        <v>19</v>
      </c>
      <c r="G41" s="123">
        <v>25</v>
      </c>
      <c r="H41" s="123">
        <f t="shared" si="0"/>
        <v>44</v>
      </c>
      <c r="I41" s="156"/>
      <c r="J41" s="126">
        <f t="shared" si="12"/>
        <v>0</v>
      </c>
      <c r="K41" s="127">
        <f t="shared" si="13"/>
        <v>0</v>
      </c>
      <c r="L41" s="123">
        <f t="shared" si="15"/>
        <v>2</v>
      </c>
      <c r="M41" s="144"/>
      <c r="N41" s="157"/>
      <c r="O41" s="158"/>
      <c r="P41" s="159"/>
      <c r="Q41" s="144"/>
    </row>
    <row r="42" spans="1:23" ht="15" customHeight="1" x14ac:dyDescent="0.25">
      <c r="A42" s="122">
        <v>3</v>
      </c>
      <c r="B42" s="122">
        <v>5</v>
      </c>
      <c r="C42" s="122" t="s">
        <v>47</v>
      </c>
      <c r="D42" s="123" t="s">
        <v>118</v>
      </c>
      <c r="E42" s="124" t="str">
        <f>VLOOKUP(D42,'Course data'!$C$4:$H$65,2,FALSE)</f>
        <v>Object Oriented Analysis &amp; Design</v>
      </c>
      <c r="F42" s="123">
        <v>43</v>
      </c>
      <c r="G42" s="123">
        <v>45</v>
      </c>
      <c r="H42" s="123">
        <f t="shared" si="0"/>
        <v>88</v>
      </c>
      <c r="I42" s="146">
        <f>IF(F42&lt;&gt;"",AVERAGE(H42:H50),"")</f>
        <v>77</v>
      </c>
      <c r="J42" s="126" t="str">
        <f>IF(F42&lt;&gt;"",IF(AND(H42&gt;=$S$7,H42&lt;=$T$7),$U$7,IF(AND(H42&gt;=$S$8,H42&lt;=$T$8),$U$8,IF(AND(H42&gt;=$S$9,H42&lt;=$T$9),$U$9,IF(AND(H42&gt;=$S$10,H42&lt;=$T$10),$U$10,IF(AND(H42&gt;=$S$11,H42&lt;=$T$11),$U$11,IF(AND(H42&gt;=$S$12,H42&lt;=$T$12),$U$12,0)))))),"")</f>
        <v>A+</v>
      </c>
      <c r="K42" s="127">
        <f>IF(F42&lt;&gt;"",IF(AND(H42&gt;=$S$7,H42&lt;=$T$7),$V$7,IF(AND(H42&gt;=$S$8,H42&lt;=$T$8),$V$8,IF(AND(H42&gt;=$S$9,H42&lt;=$T$9),$V$9,IF(AND(H42&gt;=$S$10,H42&lt;=$T$10),$V$10,IF(AND(H42&gt;=$S$11,H42&lt;=$T$11),$V$11,IF(AND(H42&gt;=$S$12,H42&lt;=$T$12),$V$12,0)))))),"")</f>
        <v>9</v>
      </c>
      <c r="L42" s="123">
        <f t="shared" ref="L42:L45" si="16">IF(F42&lt;&gt;"",3,"")</f>
        <v>3</v>
      </c>
      <c r="M42" s="131">
        <f>IF(F42&lt;&gt;"",SUM(L42:L50),"")</f>
        <v>23</v>
      </c>
      <c r="N42" s="147">
        <f>IF(F42&lt;&gt;"",SUMPRODUCT(K42:K50,L42:L50)/M42,"")</f>
        <v>7.8695652173913047</v>
      </c>
      <c r="O42" s="148">
        <f>IF(F42&lt;&gt;"",SUM(M8:M50),"")</f>
        <v>122</v>
      </c>
      <c r="P42" s="149">
        <f>IF(F42&lt;&gt;"",SUMPRODUCT(M8:M50,N8:N50)/O42,"")</f>
        <v>7.081967213114754</v>
      </c>
      <c r="Q42" s="131"/>
    </row>
    <row r="43" spans="1:23" ht="15" customHeight="1" x14ac:dyDescent="0.25">
      <c r="A43" s="122"/>
      <c r="B43" s="122"/>
      <c r="C43" s="122"/>
      <c r="D43" s="123" t="s">
        <v>120</v>
      </c>
      <c r="E43" s="124" t="str">
        <f>VLOOKUP(D43,'Course data'!$C$4:$H$65,2,FALSE)</f>
        <v>Theory of Computation</v>
      </c>
      <c r="F43" s="123">
        <v>38</v>
      </c>
      <c r="G43" s="123">
        <v>42</v>
      </c>
      <c r="H43" s="123">
        <f t="shared" si="0"/>
        <v>80</v>
      </c>
      <c r="I43" s="150"/>
      <c r="J43" s="126" t="str">
        <f t="shared" ref="J43:J51" si="17">IF(F43&lt;&gt;"",IF(AND(H43&gt;=$S$7,H43&lt;=$T$7),$U$7,IF(AND(H43&gt;=$S$8,H43&lt;=$T$8),$U$8,IF(AND(H43&gt;=$S$9,H43&lt;=$T$9),$U$9,IF(AND(H43&gt;=$S$10,H43&lt;=$T$10),$U$10,IF(AND(H43&gt;=$S$11,H43&lt;=$T$11),$U$11,IF(AND(H43&gt;=$S$12,H43&lt;=$T$12),$U$12,0)))))),"")</f>
        <v>A</v>
      </c>
      <c r="K43" s="127">
        <f t="shared" ref="K43:K51" si="18">IF(F43&lt;&gt;"",IF(AND(H43&gt;=$S$7,H43&lt;=$T$7),$V$7,IF(AND(H43&gt;=$S$8,H43&lt;=$T$8),$V$8,IF(AND(H43&gt;=$S$9,H43&lt;=$T$9),$V$9,IF(AND(H43&gt;=$S$10,H43&lt;=$T$10),$V$10,IF(AND(H43&gt;=$S$11,H43&lt;=$T$11),$V$11,IF(AND(H43&gt;=$S$12,H43&lt;=$T$12),$V$12,0)))))),"")</f>
        <v>8</v>
      </c>
      <c r="L43" s="123">
        <f t="shared" si="16"/>
        <v>3</v>
      </c>
      <c r="M43" s="133"/>
      <c r="N43" s="151"/>
      <c r="O43" s="152"/>
      <c r="P43" s="153"/>
      <c r="Q43" s="133"/>
    </row>
    <row r="44" spans="1:23" ht="15" customHeight="1" x14ac:dyDescent="0.25">
      <c r="A44" s="122"/>
      <c r="B44" s="122"/>
      <c r="C44" s="122"/>
      <c r="D44" s="123" t="s">
        <v>122</v>
      </c>
      <c r="E44" s="124" t="str">
        <f>VLOOKUP(D44,'Course data'!$C$4:$H$65,2,FALSE)</f>
        <v>System Software Internals</v>
      </c>
      <c r="F44" s="123">
        <v>30</v>
      </c>
      <c r="G44" s="123">
        <v>25</v>
      </c>
      <c r="H44" s="123">
        <f t="shared" si="0"/>
        <v>55</v>
      </c>
      <c r="I44" s="150"/>
      <c r="J44" s="126" t="str">
        <f t="shared" si="17"/>
        <v>B</v>
      </c>
      <c r="K44" s="127">
        <f t="shared" si="18"/>
        <v>6</v>
      </c>
      <c r="L44" s="123">
        <f t="shared" si="16"/>
        <v>3</v>
      </c>
      <c r="M44" s="133"/>
      <c r="N44" s="151"/>
      <c r="O44" s="152"/>
      <c r="P44" s="153"/>
      <c r="Q44" s="133"/>
    </row>
    <row r="45" spans="1:23" ht="15" customHeight="1" x14ac:dyDescent="0.25">
      <c r="A45" s="122"/>
      <c r="B45" s="122"/>
      <c r="C45" s="122"/>
      <c r="D45" s="123" t="s">
        <v>124</v>
      </c>
      <c r="E45" s="124" t="str">
        <f>VLOOKUP(D45,'Course data'!$C$4:$H$65,2,FALSE)</f>
        <v>Microprocessors &amp; Micro Controllers</v>
      </c>
      <c r="F45" s="123">
        <v>42</v>
      </c>
      <c r="G45" s="123">
        <v>39</v>
      </c>
      <c r="H45" s="123">
        <f t="shared" si="0"/>
        <v>81</v>
      </c>
      <c r="I45" s="150"/>
      <c r="J45" s="126" t="str">
        <f t="shared" si="17"/>
        <v>A+</v>
      </c>
      <c r="K45" s="127">
        <f t="shared" si="18"/>
        <v>9</v>
      </c>
      <c r="L45" s="123">
        <f t="shared" si="16"/>
        <v>3</v>
      </c>
      <c r="M45" s="133"/>
      <c r="N45" s="151"/>
      <c r="O45" s="152"/>
      <c r="P45" s="153"/>
      <c r="Q45" s="133"/>
    </row>
    <row r="46" spans="1:23" ht="34.5" x14ac:dyDescent="0.25">
      <c r="A46" s="122"/>
      <c r="B46" s="122"/>
      <c r="C46" s="122"/>
      <c r="D46" s="123" t="s">
        <v>126</v>
      </c>
      <c r="E46" s="124" t="str">
        <f>VLOOKUP(D46,'Course data'!$C$4:$H$65,2,FALSE)</f>
        <v>Data Communication &amp; Computer Networks</v>
      </c>
      <c r="F46" s="123">
        <v>35</v>
      </c>
      <c r="G46" s="123">
        <v>35</v>
      </c>
      <c r="H46" s="123">
        <f t="shared" si="0"/>
        <v>70</v>
      </c>
      <c r="I46" s="150"/>
      <c r="J46" s="126" t="str">
        <f t="shared" si="17"/>
        <v>B+</v>
      </c>
      <c r="K46" s="127">
        <f t="shared" si="18"/>
        <v>7</v>
      </c>
      <c r="L46" s="123">
        <f>IF(F46&lt;&gt;"",4,"")</f>
        <v>4</v>
      </c>
      <c r="M46" s="133"/>
      <c r="N46" s="151"/>
      <c r="O46" s="152"/>
      <c r="P46" s="153"/>
      <c r="Q46" s="133"/>
    </row>
    <row r="47" spans="1:23" ht="15" customHeight="1" x14ac:dyDescent="0.25">
      <c r="A47" s="122"/>
      <c r="B47" s="122"/>
      <c r="C47" s="122" t="s">
        <v>60</v>
      </c>
      <c r="D47" s="123" t="s">
        <v>128</v>
      </c>
      <c r="E47" s="124" t="str">
        <f>VLOOKUP(D47,'Course data'!$C$4:$H$65,2,FALSE)</f>
        <v>Employability Skills</v>
      </c>
      <c r="F47" s="123">
        <v>43</v>
      </c>
      <c r="G47" s="123">
        <v>45</v>
      </c>
      <c r="H47" s="123">
        <f t="shared" si="0"/>
        <v>88</v>
      </c>
      <c r="I47" s="150"/>
      <c r="J47" s="126" t="str">
        <f t="shared" si="17"/>
        <v>A+</v>
      </c>
      <c r="K47" s="127">
        <f t="shared" si="18"/>
        <v>9</v>
      </c>
      <c r="L47" s="123">
        <v>1</v>
      </c>
      <c r="M47" s="133"/>
      <c r="N47" s="151"/>
      <c r="O47" s="152"/>
      <c r="P47" s="153"/>
      <c r="Q47" s="133"/>
    </row>
    <row r="48" spans="1:23" ht="15" customHeight="1" x14ac:dyDescent="0.25">
      <c r="A48" s="122"/>
      <c r="B48" s="122"/>
      <c r="C48" s="122"/>
      <c r="D48" s="123" t="s">
        <v>130</v>
      </c>
      <c r="E48" s="124" t="str">
        <f>VLOOKUP(D48,'Course data'!$C$4:$H$65,2,FALSE)</f>
        <v>Communications &amp; Networks Laboratory</v>
      </c>
      <c r="F48" s="123">
        <v>49</v>
      </c>
      <c r="G48" s="123">
        <v>39</v>
      </c>
      <c r="H48" s="123">
        <f t="shared" si="0"/>
        <v>88</v>
      </c>
      <c r="I48" s="150"/>
      <c r="J48" s="126" t="str">
        <f t="shared" si="17"/>
        <v>A+</v>
      </c>
      <c r="K48" s="127">
        <f t="shared" si="18"/>
        <v>9</v>
      </c>
      <c r="L48" s="123">
        <f t="shared" ref="L48:L50" si="19">IF(F48&lt;&gt;"",2,"")</f>
        <v>2</v>
      </c>
      <c r="M48" s="133"/>
      <c r="N48" s="151"/>
      <c r="O48" s="152"/>
      <c r="P48" s="153"/>
      <c r="Q48" s="133"/>
    </row>
    <row r="49" spans="1:17" ht="15" customHeight="1" x14ac:dyDescent="0.25">
      <c r="A49" s="122"/>
      <c r="B49" s="122"/>
      <c r="C49" s="122"/>
      <c r="D49" s="123" t="s">
        <v>132</v>
      </c>
      <c r="E49" s="124" t="str">
        <f>VLOOKUP(D49,'Course data'!$C$4:$H$65,2,FALSE)</f>
        <v>Case Tools Laboratory</v>
      </c>
      <c r="F49" s="123">
        <v>30</v>
      </c>
      <c r="G49" s="123">
        <v>25</v>
      </c>
      <c r="H49" s="123">
        <f t="shared" si="0"/>
        <v>55</v>
      </c>
      <c r="I49" s="150"/>
      <c r="J49" s="126" t="str">
        <f t="shared" si="17"/>
        <v>B</v>
      </c>
      <c r="K49" s="127">
        <f t="shared" si="18"/>
        <v>6</v>
      </c>
      <c r="L49" s="123">
        <f t="shared" si="19"/>
        <v>2</v>
      </c>
      <c r="M49" s="133"/>
      <c r="N49" s="151"/>
      <c r="O49" s="152"/>
      <c r="P49" s="153"/>
      <c r="Q49" s="133"/>
    </row>
    <row r="50" spans="1:17" ht="15" customHeight="1" x14ac:dyDescent="0.25">
      <c r="A50" s="122"/>
      <c r="B50" s="122"/>
      <c r="C50" s="122"/>
      <c r="D50" s="123" t="s">
        <v>134</v>
      </c>
      <c r="E50" s="124" t="str">
        <f>VLOOKUP(D50,'Course data'!$C$4:$H$65,2,FALSE)</f>
        <v>Microprocessors Laboratory</v>
      </c>
      <c r="F50" s="123">
        <v>43</v>
      </c>
      <c r="G50" s="123">
        <v>45</v>
      </c>
      <c r="H50" s="123">
        <f t="shared" si="0"/>
        <v>88</v>
      </c>
      <c r="I50" s="156"/>
      <c r="J50" s="126" t="str">
        <f t="shared" si="17"/>
        <v>A+</v>
      </c>
      <c r="K50" s="127">
        <f t="shared" si="18"/>
        <v>9</v>
      </c>
      <c r="L50" s="123">
        <f t="shared" si="19"/>
        <v>2</v>
      </c>
      <c r="M50" s="144"/>
      <c r="N50" s="157"/>
      <c r="O50" s="158"/>
      <c r="P50" s="159"/>
      <c r="Q50" s="144"/>
    </row>
    <row r="51" spans="1:17" ht="15" customHeight="1" x14ac:dyDescent="0.25">
      <c r="A51" s="122"/>
      <c r="B51" s="122">
        <v>6</v>
      </c>
      <c r="C51" s="122" t="s">
        <v>47</v>
      </c>
      <c r="D51" s="123" t="s">
        <v>136</v>
      </c>
      <c r="E51" s="124" t="str">
        <f>VLOOKUP(D51,'Course data'!$C$4:$H$65,2,FALSE)</f>
        <v>Artificial Intelligence</v>
      </c>
      <c r="F51" s="123"/>
      <c r="G51" s="123"/>
      <c r="H51" s="123"/>
      <c r="I51" s="146" t="str">
        <f>IF(F51&lt;&gt;"",AVERAGE(H51:H58),"")</f>
        <v/>
      </c>
      <c r="J51" s="126" t="str">
        <f t="shared" si="17"/>
        <v/>
      </c>
      <c r="K51" s="127" t="str">
        <f t="shared" si="18"/>
        <v/>
      </c>
      <c r="L51" s="123" t="str">
        <f t="shared" ref="L51:L53" si="20">IF(F51&lt;&gt;"",3,"")</f>
        <v/>
      </c>
      <c r="M51" s="131" t="str">
        <f>IF(F51&lt;&gt;"",SUM(L51:L58),"")</f>
        <v/>
      </c>
      <c r="N51" s="147" t="str">
        <f>IF(F51&lt;&gt;"",SUMPRODUCT(K51:K58,L51:L58)/M51,"")</f>
        <v/>
      </c>
      <c r="O51" s="148" t="str">
        <f>IF(F51&lt;&gt;"",SUM(M8:M58),"")</f>
        <v/>
      </c>
      <c r="P51" s="149" t="str">
        <f>IF(F51&lt;&gt;"",SUMPRODUCT(M8:M58,N8:N58)/O51,"")</f>
        <v/>
      </c>
      <c r="Q51" s="131"/>
    </row>
    <row r="52" spans="1:17" ht="34.5" x14ac:dyDescent="0.25">
      <c r="A52" s="122"/>
      <c r="B52" s="122"/>
      <c r="C52" s="122"/>
      <c r="D52" s="123" t="s">
        <v>138</v>
      </c>
      <c r="E52" s="124" t="str">
        <f>VLOOKUP(D52,'Course data'!$C$4:$H$65,2,FALSE)</f>
        <v>Digital Signal Processing - Algorithms &amp; Applications</v>
      </c>
      <c r="F52" s="123"/>
      <c r="G52" s="123"/>
      <c r="H52" s="123"/>
      <c r="I52" s="150"/>
      <c r="J52" s="126" t="str">
        <f>IF(F52&lt;&gt;"",IF(AND(H52&gt;=$S$7,H52&lt;=$T$7),$U$7,IF(AND(H52&gt;=$S$8,H52&lt;=$T$8),$U$8,IF(AND(H52&gt;=$S$9,H52&lt;=$T$9),$U$9,IF(AND(H52&gt;=$S$10,H52&lt;=$T$10),$U$10,IF(AND(H52&gt;=$S$11,H52&lt;=$T$11),$U$11,IF(AND(H52&gt;=$S$12,H52&lt;=$T$12),$U$12,0)))))),"")</f>
        <v/>
      </c>
      <c r="K52" s="127" t="str">
        <f>IF(F52&lt;&gt;"",IF(AND(H52&gt;=$S$7,H52&lt;=$T$7),$V$7,IF(AND(H52&gt;=$S$8,H52&lt;=$T$8),$V$8,IF(AND(H52&gt;=$S$9,H52&lt;=$T$9),$V$9,IF(AND(H52&gt;=$S$10,H52&lt;=$T$10),$V$10,IF(AND(H52&gt;=$S$11,H52&lt;=$T$11),$V$11,IF(AND(H52&gt;=$S$12,H52&lt;=$T$12),$V$12,0)))))),"")</f>
        <v/>
      </c>
      <c r="L52" s="123" t="str">
        <f t="shared" si="20"/>
        <v/>
      </c>
      <c r="M52" s="133"/>
      <c r="N52" s="151"/>
      <c r="O52" s="152"/>
      <c r="P52" s="153"/>
      <c r="Q52" s="133"/>
    </row>
    <row r="53" spans="1:17" ht="15" customHeight="1" x14ac:dyDescent="0.25">
      <c r="A53" s="122"/>
      <c r="B53" s="122"/>
      <c r="C53" s="122"/>
      <c r="D53" s="123" t="s">
        <v>140</v>
      </c>
      <c r="E53" s="124" t="str">
        <f>VLOOKUP(D53,'Course data'!$C$4:$H$65,2,FALSE)</f>
        <v>Computer Graphics &amp; Multimedia</v>
      </c>
      <c r="F53" s="123"/>
      <c r="G53" s="123"/>
      <c r="H53" s="123"/>
      <c r="I53" s="150"/>
      <c r="J53" s="126" t="str">
        <f t="shared" ref="J53:J59" si="21">IF(F53&lt;&gt;"",IF(AND(H53&gt;=$S$7,H53&lt;=$T$7),$U$7,IF(AND(H53&gt;=$S$8,H53&lt;=$T$8),$U$8,IF(AND(H53&gt;=$S$9,H53&lt;=$T$9),$U$9,IF(AND(H53&gt;=$S$10,H53&lt;=$T$10),$U$10,IF(AND(H53&gt;=$S$11,H53&lt;=$T$11),$U$11,IF(AND(H53&gt;=$S$12,H53&lt;=$T$12),$U$12,0)))))),"")</f>
        <v/>
      </c>
      <c r="K53" s="127" t="str">
        <f t="shared" ref="K53:K59" si="22">IF(F53&lt;&gt;"",IF(AND(H53&gt;=$S$7,H53&lt;=$T$7),$V$7,IF(AND(H53&gt;=$S$8,H53&lt;=$T$8),$V$8,IF(AND(H53&gt;=$S$9,H53&lt;=$T$9),$V$9,IF(AND(H53&gt;=$S$10,H53&lt;=$T$10),$V$10,IF(AND(H53&gt;=$S$11,H53&lt;=$T$11),$V$11,IF(AND(H53&gt;=$S$12,H53&lt;=$T$12),$V$12,0)))))),"")</f>
        <v/>
      </c>
      <c r="L53" s="123" t="str">
        <f t="shared" si="20"/>
        <v/>
      </c>
      <c r="M53" s="133"/>
      <c r="N53" s="151"/>
      <c r="O53" s="152"/>
      <c r="P53" s="153"/>
      <c r="Q53" s="133"/>
    </row>
    <row r="54" spans="1:17" ht="15" customHeight="1" x14ac:dyDescent="0.25">
      <c r="A54" s="122"/>
      <c r="B54" s="122"/>
      <c r="C54" s="122"/>
      <c r="D54" s="123" t="s">
        <v>142</v>
      </c>
      <c r="E54" s="124" t="str">
        <f>VLOOKUP(D54,'Course data'!$C$4:$H$65,2,FALSE)</f>
        <v>Compiler Design</v>
      </c>
      <c r="F54" s="123"/>
      <c r="G54" s="123"/>
      <c r="H54" s="123"/>
      <c r="I54" s="150"/>
      <c r="J54" s="126" t="str">
        <f t="shared" si="21"/>
        <v/>
      </c>
      <c r="K54" s="127" t="str">
        <f t="shared" si="22"/>
        <v/>
      </c>
      <c r="L54" s="123" t="str">
        <f>IF(F54&lt;&gt;"",4,"")</f>
        <v/>
      </c>
      <c r="M54" s="133"/>
      <c r="N54" s="151"/>
      <c r="O54" s="152"/>
      <c r="P54" s="153"/>
      <c r="Q54" s="133"/>
    </row>
    <row r="55" spans="1:17" ht="15" customHeight="1" x14ac:dyDescent="0.25">
      <c r="A55" s="122"/>
      <c r="B55" s="122"/>
      <c r="C55" s="122"/>
      <c r="D55" s="123" t="s">
        <v>144</v>
      </c>
      <c r="E55" s="124" t="str">
        <f>VLOOKUP(D55,'Course data'!$C$4:$H$65,2,FALSE)</f>
        <v>Programming Paradigms</v>
      </c>
      <c r="F55" s="123"/>
      <c r="G55" s="123"/>
      <c r="H55" s="123"/>
      <c r="I55" s="150"/>
      <c r="J55" s="126" t="str">
        <f t="shared" si="21"/>
        <v/>
      </c>
      <c r="K55" s="127" t="str">
        <f t="shared" si="22"/>
        <v/>
      </c>
      <c r="L55" s="123" t="str">
        <f t="shared" ref="L55:L56" si="23">IF(F55&lt;&gt;"",3,"")</f>
        <v/>
      </c>
      <c r="M55" s="133"/>
      <c r="N55" s="151"/>
      <c r="O55" s="152"/>
      <c r="P55" s="153"/>
      <c r="Q55" s="133"/>
    </row>
    <row r="56" spans="1:17" ht="15" customHeight="1" x14ac:dyDescent="0.25">
      <c r="A56" s="122"/>
      <c r="B56" s="122"/>
      <c r="C56" s="122"/>
      <c r="D56" s="123" t="s">
        <v>146</v>
      </c>
      <c r="E56" s="124" t="str">
        <f>VLOOKUP(D56,'Course data'!$C$4:$H$65,2,FALSE)</f>
        <v>Elective I</v>
      </c>
      <c r="F56" s="123"/>
      <c r="G56" s="123"/>
      <c r="H56" s="123"/>
      <c r="I56" s="150"/>
      <c r="J56" s="126" t="str">
        <f t="shared" si="21"/>
        <v/>
      </c>
      <c r="K56" s="127" t="str">
        <f t="shared" si="22"/>
        <v/>
      </c>
      <c r="L56" s="123" t="str">
        <f t="shared" si="23"/>
        <v/>
      </c>
      <c r="M56" s="133"/>
      <c r="N56" s="151"/>
      <c r="O56" s="152"/>
      <c r="P56" s="153"/>
      <c r="Q56" s="133"/>
    </row>
    <row r="57" spans="1:17" ht="15" customHeight="1" x14ac:dyDescent="0.25">
      <c r="A57" s="122"/>
      <c r="B57" s="122"/>
      <c r="C57" s="122" t="s">
        <v>60</v>
      </c>
      <c r="D57" s="123" t="s">
        <v>148</v>
      </c>
      <c r="E57" s="124" t="str">
        <f>VLOOKUP(D57,'Course data'!$C$4:$H$65,2,FALSE)</f>
        <v>Creativity &amp; Innovative Project</v>
      </c>
      <c r="F57" s="123"/>
      <c r="G57" s="123"/>
      <c r="H57" s="123"/>
      <c r="I57" s="150"/>
      <c r="J57" s="126" t="str">
        <f t="shared" si="21"/>
        <v/>
      </c>
      <c r="K57" s="127" t="str">
        <f t="shared" si="22"/>
        <v/>
      </c>
      <c r="L57" s="123" t="str">
        <f t="shared" ref="L57:L58" si="24">IF(F57&lt;&gt;"",2,"")</f>
        <v/>
      </c>
      <c r="M57" s="133"/>
      <c r="N57" s="151"/>
      <c r="O57" s="152"/>
      <c r="P57" s="153"/>
      <c r="Q57" s="133"/>
    </row>
    <row r="58" spans="1:17" ht="34.5" x14ac:dyDescent="0.25">
      <c r="A58" s="122"/>
      <c r="B58" s="122"/>
      <c r="C58" s="122"/>
      <c r="D58" s="123" t="s">
        <v>150</v>
      </c>
      <c r="E58" s="124" t="str">
        <f>VLOOKUP(D58,'Course data'!$C$4:$H$65,2,FALSE)</f>
        <v>Computer Graphics &amp; Multimedia Laboratory</v>
      </c>
      <c r="F58" s="123"/>
      <c r="G58" s="123"/>
      <c r="H58" s="123"/>
      <c r="I58" s="156"/>
      <c r="J58" s="126" t="str">
        <f t="shared" si="21"/>
        <v/>
      </c>
      <c r="K58" s="127" t="str">
        <f t="shared" si="22"/>
        <v/>
      </c>
      <c r="L58" s="123" t="str">
        <f t="shared" si="24"/>
        <v/>
      </c>
      <c r="M58" s="144"/>
      <c r="N58" s="157"/>
      <c r="O58" s="158"/>
      <c r="P58" s="159"/>
      <c r="Q58" s="144"/>
    </row>
    <row r="59" spans="1:17" ht="12.75" customHeight="1" x14ac:dyDescent="0.25">
      <c r="A59" s="122">
        <v>4</v>
      </c>
      <c r="B59" s="122">
        <v>7</v>
      </c>
      <c r="C59" s="122" t="s">
        <v>47</v>
      </c>
      <c r="D59" s="123" t="s">
        <v>152</v>
      </c>
      <c r="E59" s="124" t="str">
        <f>VLOOKUP(D59,'Course data'!$C$4:$H$65,2,FALSE)</f>
        <v>Mobile &amp; Pervasive Computing</v>
      </c>
      <c r="F59" s="123"/>
      <c r="G59" s="123"/>
      <c r="H59" s="123"/>
      <c r="I59" s="146" t="str">
        <f>IF(F59&lt;&gt;"",AVERAGE(H59:H69),"")</f>
        <v/>
      </c>
      <c r="J59" s="126" t="str">
        <f t="shared" si="21"/>
        <v/>
      </c>
      <c r="K59" s="127" t="str">
        <f t="shared" si="22"/>
        <v/>
      </c>
      <c r="L59" s="123" t="str">
        <f t="shared" ref="L59:L64" si="25">IF(F59&lt;&gt;"",3,"")</f>
        <v/>
      </c>
      <c r="M59" s="122" t="str">
        <f>IF(F59&lt;&gt;"",SUM(L59:L66),"")</f>
        <v/>
      </c>
      <c r="N59" s="147" t="str">
        <f>IF(F59&lt;&gt;"",SUMPRODUCT(K59:K66,L59:L66)/M59,"")</f>
        <v/>
      </c>
      <c r="O59" s="148" t="str">
        <f>IF(F59&lt;&gt;"",SUM(M8:M66),"")</f>
        <v/>
      </c>
      <c r="P59" s="149" t="str">
        <f>IF(F59&lt;&gt;"",SUMPRODUCT(M8:M66,N8:N66)/O59,"")</f>
        <v/>
      </c>
      <c r="Q59" s="148"/>
    </row>
    <row r="60" spans="1:17" ht="12.75" customHeight="1" x14ac:dyDescent="0.25">
      <c r="A60" s="122"/>
      <c r="B60" s="122"/>
      <c r="C60" s="122"/>
      <c r="D60" s="123" t="s">
        <v>154</v>
      </c>
      <c r="E60" s="124" t="str">
        <f>VLOOKUP(D60,'Course data'!$C$4:$H$65,2,FALSE)</f>
        <v>Security in Computing</v>
      </c>
      <c r="F60" s="123"/>
      <c r="G60" s="123"/>
      <c r="H60" s="123"/>
      <c r="I60" s="150"/>
      <c r="J60" s="126" t="str">
        <f>IF(F60&lt;&gt;"",IF(AND(H60&gt;=$S$7,H60&lt;=$T$7),$U$7,IF(AND(H60&gt;=$S$8,H60&lt;=$T$8),$U$8,IF(AND(H60&gt;=$S$9,H60&lt;=$T$9),$U$9,IF(AND(H60&gt;=$S$10,H60&lt;=$T$10),$U$10,IF(AND(H60&gt;=$S$11,H60&lt;=$T$11),$U$11,IF(AND(H60&gt;=$S$12,H60&lt;=$T$12),$U$12,0)))))),"")</f>
        <v/>
      </c>
      <c r="K60" s="127" t="str">
        <f>IF(F60&lt;&gt;"",IF(AND(H60&gt;=$S$7,H60&lt;=$T$7),$V$7,IF(AND(H60&gt;=$S$8,H60&lt;=$T$8),$V$8,IF(AND(H60&gt;=$S$9,H60&lt;=$T$9),$V$9,IF(AND(H60&gt;=$S$10,H60&lt;=$T$10),$V$10,IF(AND(H60&gt;=$S$11,H60&lt;=$T$11),$V$11,IF(AND(H60&gt;=$S$12,H60&lt;=$T$12),$V$12,0)))))),"")</f>
        <v/>
      </c>
      <c r="L60" s="123" t="str">
        <f t="shared" si="25"/>
        <v/>
      </c>
      <c r="M60" s="122"/>
      <c r="N60" s="151"/>
      <c r="O60" s="152"/>
      <c r="P60" s="153"/>
      <c r="Q60" s="152"/>
    </row>
    <row r="61" spans="1:17" ht="12.75" customHeight="1" x14ac:dyDescent="0.25">
      <c r="A61" s="122"/>
      <c r="B61" s="122"/>
      <c r="C61" s="122"/>
      <c r="D61" s="123" t="s">
        <v>156</v>
      </c>
      <c r="E61" s="124" t="str">
        <f>VLOOKUP(D61,'Course data'!$C$4:$H$65,2,FALSE)</f>
        <v>Principles of Management</v>
      </c>
      <c r="F61" s="123"/>
      <c r="G61" s="123"/>
      <c r="H61" s="123"/>
      <c r="I61" s="150"/>
      <c r="J61" s="126" t="str">
        <f t="shared" ref="J61:J67" si="26">IF(F61&lt;&gt;"",IF(AND(H61&gt;=$S$7,H61&lt;=$T$7),$U$7,IF(AND(H61&gt;=$S$8,H61&lt;=$T$8),$U$8,IF(AND(H61&gt;=$S$9,H61&lt;=$T$9),$U$9,IF(AND(H61&gt;=$S$10,H61&lt;=$T$10),$U$10,IF(AND(H61&gt;=$S$11,H61&lt;=$T$11),$U$11,IF(AND(H61&gt;=$S$12,H61&lt;=$T$12),$U$12,0)))))),"")</f>
        <v/>
      </c>
      <c r="K61" s="127" t="str">
        <f t="shared" ref="K61:K67" si="27">IF(F61&lt;&gt;"",IF(AND(H61&gt;=$S$7,H61&lt;=$T$7),$V$7,IF(AND(H61&gt;=$S$8,H61&lt;=$T$8),$V$8,IF(AND(H61&gt;=$S$9,H61&lt;=$T$9),$V$9,IF(AND(H61&gt;=$S$10,H61&lt;=$T$10),$V$10,IF(AND(H61&gt;=$S$11,H61&lt;=$T$11),$V$11,IF(AND(H61&gt;=$S$12,H61&lt;=$T$12),$V$12,0)))))),"")</f>
        <v/>
      </c>
      <c r="L61" s="123" t="str">
        <f t="shared" si="25"/>
        <v/>
      </c>
      <c r="M61" s="122"/>
      <c r="N61" s="151"/>
      <c r="O61" s="152"/>
      <c r="P61" s="153"/>
      <c r="Q61" s="152"/>
    </row>
    <row r="62" spans="1:17" ht="12.75" customHeight="1" x14ac:dyDescent="0.25">
      <c r="A62" s="122"/>
      <c r="B62" s="122"/>
      <c r="C62" s="122"/>
      <c r="D62" s="123" t="s">
        <v>158</v>
      </c>
      <c r="E62" s="124" t="str">
        <f>VLOOKUP(D62,'Course data'!$C$4:$H$65,2,FALSE)</f>
        <v>Parallel Programming</v>
      </c>
      <c r="F62" s="123"/>
      <c r="G62" s="123"/>
      <c r="H62" s="123"/>
      <c r="I62" s="150"/>
      <c r="J62" s="126" t="str">
        <f t="shared" si="26"/>
        <v/>
      </c>
      <c r="K62" s="127" t="str">
        <f t="shared" si="27"/>
        <v/>
      </c>
      <c r="L62" s="123" t="str">
        <f t="shared" si="25"/>
        <v/>
      </c>
      <c r="M62" s="122"/>
      <c r="N62" s="151"/>
      <c r="O62" s="152"/>
      <c r="P62" s="153"/>
      <c r="Q62" s="152"/>
    </row>
    <row r="63" spans="1:17" ht="12.75" customHeight="1" x14ac:dyDescent="0.25">
      <c r="A63" s="122"/>
      <c r="B63" s="122"/>
      <c r="C63" s="122"/>
      <c r="D63" s="123" t="s">
        <v>146</v>
      </c>
      <c r="E63" s="124" t="str">
        <f>VLOOKUP(D63,'Course data'!$C$4:$H$65,2,FALSE)</f>
        <v>Elective I</v>
      </c>
      <c r="F63" s="123"/>
      <c r="G63" s="123"/>
      <c r="H63" s="123"/>
      <c r="I63" s="150"/>
      <c r="J63" s="126" t="str">
        <f t="shared" si="26"/>
        <v/>
      </c>
      <c r="K63" s="127" t="str">
        <f t="shared" si="27"/>
        <v/>
      </c>
      <c r="L63" s="123" t="str">
        <f t="shared" si="25"/>
        <v/>
      </c>
      <c r="M63" s="122"/>
      <c r="N63" s="151"/>
      <c r="O63" s="152"/>
      <c r="P63" s="153"/>
      <c r="Q63" s="152"/>
    </row>
    <row r="64" spans="1:17" ht="12.75" customHeight="1" x14ac:dyDescent="0.25">
      <c r="A64" s="122"/>
      <c r="B64" s="122"/>
      <c r="C64" s="122"/>
      <c r="D64" s="123" t="s">
        <v>146</v>
      </c>
      <c r="E64" s="124" t="str">
        <f>VLOOKUP(D64,'Course data'!$C$4:$H$65,2,FALSE)</f>
        <v>Elective I</v>
      </c>
      <c r="F64" s="123"/>
      <c r="G64" s="123"/>
      <c r="H64" s="123"/>
      <c r="I64" s="150"/>
      <c r="J64" s="126" t="str">
        <f t="shared" si="26"/>
        <v/>
      </c>
      <c r="K64" s="127" t="str">
        <f t="shared" si="27"/>
        <v/>
      </c>
      <c r="L64" s="123" t="str">
        <f t="shared" si="25"/>
        <v/>
      </c>
      <c r="M64" s="122"/>
      <c r="N64" s="151"/>
      <c r="O64" s="152"/>
      <c r="P64" s="153"/>
      <c r="Q64" s="152"/>
    </row>
    <row r="65" spans="1:17" ht="12.75" customHeight="1" x14ac:dyDescent="0.25">
      <c r="A65" s="122"/>
      <c r="B65" s="122"/>
      <c r="C65" s="122" t="s">
        <v>60</v>
      </c>
      <c r="D65" s="123" t="s">
        <v>162</v>
      </c>
      <c r="E65" s="124" t="str">
        <f>VLOOKUP(D65,'Course data'!$C$4:$H$65,2,FALSE)</f>
        <v>Software Development Laboratory</v>
      </c>
      <c r="F65" s="123"/>
      <c r="G65" s="123"/>
      <c r="H65" s="123"/>
      <c r="I65" s="150"/>
      <c r="J65" s="126" t="str">
        <f t="shared" si="26"/>
        <v/>
      </c>
      <c r="K65" s="127" t="str">
        <f t="shared" si="27"/>
        <v/>
      </c>
      <c r="L65" s="123" t="str">
        <f t="shared" ref="L65:L66" si="28">IF(F65&lt;&gt;"",2,"")</f>
        <v/>
      </c>
      <c r="M65" s="122"/>
      <c r="N65" s="151"/>
      <c r="O65" s="152"/>
      <c r="P65" s="153"/>
      <c r="Q65" s="152"/>
    </row>
    <row r="66" spans="1:17" ht="34.5" x14ac:dyDescent="0.25">
      <c r="A66" s="122"/>
      <c r="B66" s="122"/>
      <c r="C66" s="122"/>
      <c r="D66" s="123" t="s">
        <v>164</v>
      </c>
      <c r="E66" s="124" t="str">
        <f>VLOOKUP(D66,'Course data'!$C$4:$H$65,2,FALSE)</f>
        <v>Mobile Application Development Laboratory</v>
      </c>
      <c r="F66" s="123"/>
      <c r="G66" s="123"/>
      <c r="H66" s="123"/>
      <c r="I66" s="160"/>
      <c r="J66" s="126" t="str">
        <f t="shared" si="26"/>
        <v/>
      </c>
      <c r="K66" s="127" t="str">
        <f t="shared" si="27"/>
        <v/>
      </c>
      <c r="L66" s="123" t="str">
        <f t="shared" si="28"/>
        <v/>
      </c>
      <c r="M66" s="122"/>
      <c r="N66" s="151"/>
      <c r="O66" s="152"/>
      <c r="P66" s="153"/>
      <c r="Q66" s="152"/>
    </row>
    <row r="67" spans="1:17" ht="12.75" customHeight="1" x14ac:dyDescent="0.25">
      <c r="A67" s="122"/>
      <c r="B67" s="122">
        <v>8</v>
      </c>
      <c r="C67" s="122" t="s">
        <v>47</v>
      </c>
      <c r="D67" s="123" t="s">
        <v>146</v>
      </c>
      <c r="E67" s="124" t="str">
        <f>VLOOKUP(D67,'Course data'!$C$4:$H$65,2,FALSE)</f>
        <v>Elective I</v>
      </c>
      <c r="F67" s="123"/>
      <c r="G67" s="123"/>
      <c r="H67" s="123"/>
      <c r="I67" s="161" t="str">
        <f>IF(F67&lt;&gt;"",AVERAGE(H67:H69),"")</f>
        <v/>
      </c>
      <c r="J67" s="126" t="str">
        <f t="shared" si="26"/>
        <v/>
      </c>
      <c r="K67" s="127" t="str">
        <f t="shared" si="27"/>
        <v/>
      </c>
      <c r="L67" s="123" t="str">
        <f>IF(F67&lt;&gt;"",3,"")</f>
        <v/>
      </c>
      <c r="M67" s="131" t="str">
        <f>IF(F67&lt;&gt;"",SUM(L67:L69),"")</f>
        <v/>
      </c>
      <c r="N67" s="128" t="str">
        <f>IF(F67&lt;&gt;"",SUMPRODUCT(K67:K69,L67:L69)/M67,"")</f>
        <v/>
      </c>
      <c r="O67" s="129" t="str">
        <f>IF(F67&lt;&gt;"",SUM(M8:M69),"")</f>
        <v/>
      </c>
      <c r="P67" s="130" t="str">
        <f>IF(F67&lt;&gt;"",SUMPRODUCT(M8:M69,N8:N69)/O67,"")</f>
        <v/>
      </c>
      <c r="Q67" s="129"/>
    </row>
    <row r="68" spans="1:17" ht="12.75" customHeight="1" x14ac:dyDescent="0.25">
      <c r="A68" s="122"/>
      <c r="B68" s="122"/>
      <c r="C68" s="122"/>
      <c r="D68" s="123" t="s">
        <v>146</v>
      </c>
      <c r="E68" s="124" t="str">
        <f>VLOOKUP(D68,'Course data'!$C$4:$H$65,2,FALSE)</f>
        <v>Elective I</v>
      </c>
      <c r="F68" s="123"/>
      <c r="G68" s="123"/>
      <c r="H68" s="123"/>
      <c r="I68" s="150"/>
      <c r="J68" s="126" t="str">
        <f>IF(F68&lt;&gt;"",IF(AND(H68&gt;=$S$7,H68&lt;=$T$7),$U$7,IF(AND(H68&gt;=$S$8,H68&lt;=$T$8),$U$8,IF(AND(H68&gt;=$S$9,H68&lt;=$T$9),$U$9,IF(AND(H68&gt;=$S$10,H68&lt;=$T$10),$U$10,IF(AND(H68&gt;=$S$11,H68&lt;=$T$11),$U$11,IF(AND(H68&gt;=$S$12,H68&lt;=$T$12),$U$12,0)))))),"")</f>
        <v/>
      </c>
      <c r="K68" s="127" t="str">
        <f>IF(F68&lt;&gt;"",IF(AND(H68&gt;=$S$7,H68&lt;=$T$7),$V$7,IF(AND(H68&gt;=$S$8,H68&lt;=$T$8),$V$8,IF(AND(H68&gt;=$S$9,H68&lt;=$T$9),$V$9,IF(AND(H68&gt;=$S$10,H68&lt;=$T$10),$V$10,IF(AND(H68&gt;=$S$11,H68&lt;=$T$11),$V$11,IF(AND(H68&gt;=$S$12,H68&lt;=$T$12),$V$12,0)))))),"")</f>
        <v/>
      </c>
      <c r="L68" s="123" t="str">
        <f>IF(F68&lt;&gt;"",3,"")</f>
        <v/>
      </c>
      <c r="M68" s="133"/>
      <c r="N68" s="128"/>
      <c r="O68" s="129"/>
      <c r="P68" s="130"/>
      <c r="Q68" s="129"/>
    </row>
    <row r="69" spans="1:17" ht="12.75" customHeight="1" x14ac:dyDescent="0.25">
      <c r="A69" s="122"/>
      <c r="B69" s="122"/>
      <c r="C69" s="123" t="s">
        <v>60</v>
      </c>
      <c r="D69" s="123" t="s">
        <v>168</v>
      </c>
      <c r="E69" s="124" t="str">
        <f>VLOOKUP(D69,'Course data'!$C$4:$H$65,2,FALSE)</f>
        <v>Project Work</v>
      </c>
      <c r="F69" s="123"/>
      <c r="G69" s="123"/>
      <c r="H69" s="123"/>
      <c r="I69" s="156"/>
      <c r="J69" s="126" t="str">
        <f t="shared" ref="J69" si="29">IF(F69&lt;&gt;"",IF(AND(H69&gt;=$S$7,H69&lt;=$T$7),$U$7,IF(AND(H69&gt;=$S$8,H69&lt;=$T$8),$U$8,IF(AND(H69&gt;=$S$9,H69&lt;=$T$9),$U$9,IF(AND(H69&gt;=$S$10,H69&lt;=$T$10),$U$10,IF(AND(H69&gt;=$S$11,H69&lt;=$T$11),$U$11,IF(AND(H69&gt;=$S$12,H69&lt;=$T$12),$U$12,0)))))),"")</f>
        <v/>
      </c>
      <c r="K69" s="127" t="str">
        <f t="shared" ref="K69" si="30">IF(F69&lt;&gt;"",IF(AND(H69&gt;=$S$7,H69&lt;=$T$7),$V$7,IF(AND(H69&gt;=$S$8,H69&lt;=$T$8),$V$8,IF(AND(H69&gt;=$S$9,H69&lt;=$T$9),$V$9,IF(AND(H69&gt;=$S$10,H69&lt;=$T$10),$V$10,IF(AND(H69&gt;=$S$11,H69&lt;=$T$11),$V$11,IF(AND(H69&gt;=$S$12,H69&lt;=$T$12),$V$12,0)))))),"")</f>
        <v/>
      </c>
      <c r="L69" s="123" t="str">
        <f>IF(F69&lt;&gt;"",6,"")</f>
        <v/>
      </c>
      <c r="M69" s="144"/>
      <c r="N69" s="128"/>
      <c r="O69" s="129"/>
      <c r="P69" s="130"/>
      <c r="Q69" s="129"/>
    </row>
    <row r="70" spans="1:17" ht="21.75" customHeight="1" x14ac:dyDescent="0.25">
      <c r="A70" s="62" t="s">
        <v>186</v>
      </c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</row>
    <row r="71" spans="1:17" ht="21.75" x14ac:dyDescent="0.25">
      <c r="A71" s="163" t="s">
        <v>185</v>
      </c>
      <c r="B71" s="103" t="s">
        <v>187</v>
      </c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4"/>
    </row>
    <row r="72" spans="1:17" x14ac:dyDescent="0.25">
      <c r="A72" s="164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6"/>
    </row>
    <row r="73" spans="1:17" ht="31.5" customHeight="1" x14ac:dyDescent="0.25">
      <c r="A73" s="164"/>
      <c r="B73" s="167" t="s">
        <v>203</v>
      </c>
      <c r="C73" s="167"/>
      <c r="D73" s="167"/>
      <c r="E73" s="167"/>
      <c r="F73" s="105">
        <f>COUNT(N8:N69)</f>
        <v>5</v>
      </c>
      <c r="G73" s="105"/>
      <c r="H73" s="105"/>
      <c r="I73" s="165"/>
      <c r="N73" s="168"/>
      <c r="O73" s="168"/>
      <c r="P73" s="165"/>
      <c r="Q73" s="166"/>
    </row>
    <row r="74" spans="1:17" ht="25.5" customHeight="1" x14ac:dyDescent="0.25">
      <c r="A74" s="164"/>
      <c r="B74" s="169" t="str">
        <f>CONCATENATE("Current GPA at the End of Semester ",F73,"  is =  ")</f>
        <v xml:space="preserve">Current GPA at the End of Semester 5  is =  </v>
      </c>
      <c r="C74" s="170"/>
      <c r="D74" s="170"/>
      <c r="E74" s="171"/>
      <c r="F74" s="102">
        <f>VLOOKUP(F73,B6:P69,13,FALSE)</f>
        <v>7.8695652173913047</v>
      </c>
      <c r="G74" s="102"/>
      <c r="H74" s="102"/>
      <c r="I74" s="172"/>
      <c r="N74" s="172"/>
      <c r="O74" s="172"/>
      <c r="P74" s="172"/>
      <c r="Q74" s="173"/>
    </row>
    <row r="75" spans="1:17" ht="25.5" customHeight="1" x14ac:dyDescent="0.25">
      <c r="A75" s="164"/>
      <c r="B75" s="169" t="str">
        <f>CONCATENATE("Current GPA at the End of Semester ",F73,"  is =  ")</f>
        <v xml:space="preserve">Current GPA at the End of Semester 5  is =  </v>
      </c>
      <c r="C75" s="170"/>
      <c r="D75" s="170"/>
      <c r="E75" s="171"/>
      <c r="F75" s="102">
        <f>VLOOKUP(F73,B7:P69,15,FALSE)</f>
        <v>7.081967213114754</v>
      </c>
      <c r="G75" s="102"/>
      <c r="H75" s="102"/>
      <c r="I75" s="172"/>
      <c r="J75" s="172"/>
      <c r="K75" s="172"/>
      <c r="L75" s="172"/>
      <c r="M75" s="172"/>
      <c r="N75" s="172"/>
      <c r="O75" s="172"/>
      <c r="P75" s="172"/>
      <c r="Q75" s="173"/>
    </row>
    <row r="76" spans="1:17" ht="25.5" customHeight="1" x14ac:dyDescent="0.25">
      <c r="A76" s="164"/>
      <c r="B76" s="169" t="s">
        <v>205</v>
      </c>
      <c r="C76" s="170"/>
      <c r="D76" s="170"/>
      <c r="E76" s="171"/>
      <c r="F76" s="102">
        <v>180</v>
      </c>
      <c r="G76" s="102"/>
      <c r="H76" s="102"/>
      <c r="I76" s="172"/>
      <c r="J76" s="172"/>
      <c r="K76" s="172"/>
      <c r="L76" s="172"/>
      <c r="M76" s="172"/>
      <c r="N76" s="172"/>
      <c r="O76" s="172"/>
      <c r="P76" s="172"/>
      <c r="Q76" s="173"/>
    </row>
    <row r="77" spans="1:17" ht="25.5" customHeight="1" x14ac:dyDescent="0.25">
      <c r="A77" s="164"/>
      <c r="B77" s="174"/>
      <c r="C77" s="174"/>
      <c r="D77" s="174"/>
      <c r="E77" s="172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6"/>
    </row>
    <row r="78" spans="1:17" ht="30" customHeight="1" x14ac:dyDescent="0.25">
      <c r="A78" s="164"/>
      <c r="B78" s="106" t="s">
        <v>215</v>
      </c>
      <c r="C78" s="168"/>
      <c r="D78" s="168"/>
      <c r="E78" s="168"/>
      <c r="F78" s="100" t="s">
        <v>214</v>
      </c>
      <c r="G78" s="100"/>
      <c r="H78" s="100"/>
      <c r="I78" s="100"/>
      <c r="N78" s="168"/>
      <c r="O78" s="168"/>
      <c r="P78" s="168"/>
      <c r="Q78" s="168"/>
    </row>
    <row r="79" spans="1:17" ht="25.5" customHeight="1" x14ac:dyDescent="0.25">
      <c r="A79" s="164"/>
      <c r="B79" s="174"/>
      <c r="C79" s="174"/>
      <c r="D79" s="174"/>
      <c r="E79" s="172"/>
      <c r="F79" s="101">
        <v>9</v>
      </c>
      <c r="G79" s="101"/>
      <c r="H79" s="101"/>
      <c r="I79" s="101"/>
      <c r="N79" s="165"/>
      <c r="O79" s="165"/>
      <c r="P79" s="165"/>
      <c r="Q79" s="165"/>
    </row>
    <row r="80" spans="1:17" ht="25.5" customHeight="1" x14ac:dyDescent="0.25">
      <c r="A80" s="164"/>
      <c r="B80" s="175" t="s">
        <v>1</v>
      </c>
      <c r="C80" s="162" t="s">
        <v>3</v>
      </c>
      <c r="D80" s="162"/>
      <c r="E80" s="176" t="s">
        <v>194</v>
      </c>
      <c r="F80" s="162" t="s">
        <v>193</v>
      </c>
      <c r="G80" s="162"/>
      <c r="H80" s="162"/>
      <c r="I80" s="177" t="s">
        <v>210</v>
      </c>
      <c r="J80" s="178"/>
      <c r="K80" s="177" t="s">
        <v>191</v>
      </c>
      <c r="L80" s="178"/>
      <c r="M80" s="177" t="s">
        <v>192</v>
      </c>
      <c r="N80" s="179"/>
      <c r="O80" s="180" t="s">
        <v>204</v>
      </c>
      <c r="P80" s="180"/>
      <c r="Q80" s="181">
        <f>F79</f>
        <v>9</v>
      </c>
    </row>
    <row r="81" spans="1:17" ht="27" customHeight="1" x14ac:dyDescent="0.25">
      <c r="A81" s="164"/>
      <c r="B81" s="123">
        <v>1</v>
      </c>
      <c r="C81" s="122" t="s">
        <v>195</v>
      </c>
      <c r="D81" s="122"/>
      <c r="E81" s="182">
        <f>IF(F8&lt;&gt;"",AVERAGE(K8:K17),"")</f>
        <v>5.6</v>
      </c>
      <c r="F81" s="122">
        <f>M8</f>
        <v>26</v>
      </c>
      <c r="G81" s="122"/>
      <c r="H81" s="122"/>
      <c r="I81" s="183">
        <f>IF(F8&lt;&gt;"",F81,"")</f>
        <v>26</v>
      </c>
      <c r="J81" s="184"/>
      <c r="K81" s="183">
        <f>P8</f>
        <v>6</v>
      </c>
      <c r="L81" s="184"/>
      <c r="M81" s="183">
        <f>P8</f>
        <v>6</v>
      </c>
      <c r="N81" s="185"/>
      <c r="O81" s="99" t="s">
        <v>206</v>
      </c>
      <c r="P81" s="99"/>
      <c r="Q81" s="186">
        <f>F76</f>
        <v>180</v>
      </c>
    </row>
    <row r="82" spans="1:17" ht="27" customHeight="1" x14ac:dyDescent="0.25">
      <c r="A82" s="164"/>
      <c r="B82" s="123">
        <v>2</v>
      </c>
      <c r="C82" s="122" t="s">
        <v>196</v>
      </c>
      <c r="D82" s="122"/>
      <c r="E82" s="182">
        <f>IF(F18&lt;&gt;"",AVERAGE(K18:K25),"")</f>
        <v>6.75</v>
      </c>
      <c r="F82" s="122">
        <f>M18</f>
        <v>24</v>
      </c>
      <c r="G82" s="122"/>
      <c r="H82" s="122"/>
      <c r="I82" s="183">
        <f>IF(F18&lt;&gt;"",SUM(F81:H82),"")</f>
        <v>50</v>
      </c>
      <c r="J82" s="184"/>
      <c r="K82" s="183">
        <f>P18</f>
        <v>6.24</v>
      </c>
      <c r="L82" s="184"/>
      <c r="M82" s="183">
        <f>P18</f>
        <v>6.24</v>
      </c>
      <c r="N82" s="185"/>
      <c r="O82" s="99" t="s">
        <v>207</v>
      </c>
      <c r="P82" s="99"/>
      <c r="Q82" s="187">
        <f>F73</f>
        <v>5</v>
      </c>
    </row>
    <row r="83" spans="1:17" ht="27" customHeight="1" x14ac:dyDescent="0.25">
      <c r="A83" s="164"/>
      <c r="B83" s="123">
        <v>3</v>
      </c>
      <c r="C83" s="122" t="s">
        <v>197</v>
      </c>
      <c r="D83" s="122"/>
      <c r="E83" s="182">
        <f>IF(F26&lt;&gt;"",AVERAGE(K26:K33),"")</f>
        <v>7.875</v>
      </c>
      <c r="F83" s="122">
        <f>M26</f>
        <v>24</v>
      </c>
      <c r="G83" s="122"/>
      <c r="H83" s="122"/>
      <c r="I83" s="183">
        <f>IF(F26&lt;&gt;"",SUM(F81:H83),"")</f>
        <v>74</v>
      </c>
      <c r="J83" s="184"/>
      <c r="K83" s="183">
        <f>P26</f>
        <v>6.6351351351351351</v>
      </c>
      <c r="L83" s="184"/>
      <c r="M83" s="183">
        <f>P26</f>
        <v>6.6351351351351351</v>
      </c>
      <c r="N83" s="185"/>
      <c r="O83" s="99" t="s">
        <v>208</v>
      </c>
      <c r="P83" s="99"/>
      <c r="Q83" s="187">
        <f>8-Q82</f>
        <v>3</v>
      </c>
    </row>
    <row r="84" spans="1:17" ht="27" customHeight="1" x14ac:dyDescent="0.25">
      <c r="A84" s="164"/>
      <c r="B84" s="123">
        <v>4</v>
      </c>
      <c r="C84" s="122" t="s">
        <v>198</v>
      </c>
      <c r="D84" s="122"/>
      <c r="E84" s="182">
        <f>IF(F34&lt;&gt;"",AVERAGE(K34:K41),"")</f>
        <v>7.25</v>
      </c>
      <c r="F84" s="122">
        <f>M34</f>
        <v>25</v>
      </c>
      <c r="G84" s="122"/>
      <c r="H84" s="122"/>
      <c r="I84" s="183">
        <f>IF(F34&lt;&gt;"",SUM(F81:H84),"")</f>
        <v>99</v>
      </c>
      <c r="J84" s="184"/>
      <c r="K84" s="183">
        <f>P34</f>
        <v>6.8989898989898988</v>
      </c>
      <c r="L84" s="184"/>
      <c r="M84" s="183">
        <f>P34</f>
        <v>6.8989898989898988</v>
      </c>
      <c r="N84" s="185"/>
      <c r="O84" s="99" t="s">
        <v>209</v>
      </c>
      <c r="P84" s="99"/>
      <c r="Q84" s="186">
        <f>SUMPRODUCT(F81:F88,K81:K88)</f>
        <v>800.36323661963002</v>
      </c>
    </row>
    <row r="85" spans="1:17" ht="27" customHeight="1" x14ac:dyDescent="0.25">
      <c r="A85" s="164"/>
      <c r="B85" s="188">
        <v>5</v>
      </c>
      <c r="C85" s="131" t="s">
        <v>199</v>
      </c>
      <c r="D85" s="131"/>
      <c r="E85" s="182">
        <f>IF(F42&lt;&gt;"",AVERAGE(K42:K50),"")</f>
        <v>8</v>
      </c>
      <c r="F85" s="122">
        <f>M42</f>
        <v>23</v>
      </c>
      <c r="G85" s="122"/>
      <c r="H85" s="122"/>
      <c r="I85" s="183">
        <f>IF(F42&lt;&gt;"",SUM(F81:H85),"")</f>
        <v>122</v>
      </c>
      <c r="J85" s="184"/>
      <c r="K85" s="183">
        <f>P42</f>
        <v>7.081967213114754</v>
      </c>
      <c r="L85" s="184"/>
      <c r="M85" s="189">
        <f>P42</f>
        <v>7.081967213114754</v>
      </c>
      <c r="N85" s="190"/>
      <c r="O85" s="99" t="s">
        <v>211</v>
      </c>
      <c r="P85" s="99"/>
      <c r="Q85" s="191">
        <f>MAX(I81:I88)</f>
        <v>122</v>
      </c>
    </row>
    <row r="86" spans="1:17" ht="27" customHeight="1" x14ac:dyDescent="0.25">
      <c r="A86" s="164"/>
      <c r="B86" s="192">
        <v>6</v>
      </c>
      <c r="C86" s="99" t="s">
        <v>200</v>
      </c>
      <c r="D86" s="99"/>
      <c r="E86" s="193" t="str">
        <f>IF(F51&lt;&gt;"",AVERAGE(K51:K58),"")</f>
        <v/>
      </c>
      <c r="F86" s="131">
        <v>24</v>
      </c>
      <c r="G86" s="131"/>
      <c r="H86" s="131"/>
      <c r="I86" s="189" t="str">
        <f>IF(F51&lt;&gt;"",SUM(F81:H86),"")</f>
        <v/>
      </c>
      <c r="J86" s="194"/>
      <c r="K86" s="189" t="str">
        <f>P51</f>
        <v/>
      </c>
      <c r="L86" s="195"/>
      <c r="M86" s="196" t="str">
        <f>P51</f>
        <v/>
      </c>
      <c r="N86" s="196"/>
      <c r="O86" s="99" t="s">
        <v>212</v>
      </c>
      <c r="P86" s="99"/>
      <c r="Q86" s="191">
        <f>Q81-Q85</f>
        <v>58</v>
      </c>
    </row>
    <row r="87" spans="1:17" ht="30.75" customHeight="1" x14ac:dyDescent="0.25">
      <c r="A87" s="164"/>
      <c r="B87" s="192">
        <v>7</v>
      </c>
      <c r="C87" s="99" t="s">
        <v>201</v>
      </c>
      <c r="D87" s="99"/>
      <c r="E87" s="186" t="str">
        <f>IF(F59&lt;&gt;"",AVERAGE(K59:K66),"")</f>
        <v/>
      </c>
      <c r="F87" s="99">
        <v>22</v>
      </c>
      <c r="G87" s="99"/>
      <c r="H87" s="99"/>
      <c r="I87" s="196" t="str">
        <f>IF(F59&lt;&gt;"",SUM(F81:H87),"")</f>
        <v/>
      </c>
      <c r="J87" s="196"/>
      <c r="K87" s="196" t="str">
        <f>P59</f>
        <v/>
      </c>
      <c r="L87" s="197"/>
      <c r="M87" s="196" t="str">
        <f>P59</f>
        <v/>
      </c>
      <c r="N87" s="196"/>
      <c r="O87" s="198" t="str">
        <f>CONCATENATE("Required GPA in the remaining ",Q83," semesters")</f>
        <v>Required GPA in the remaining 3 semesters</v>
      </c>
      <c r="P87" s="198"/>
      <c r="Q87" s="199">
        <f>(((Q80*Q81)-Q84)/Q86)</f>
        <v>14.13166833414431</v>
      </c>
    </row>
    <row r="88" spans="1:17" ht="27" customHeight="1" x14ac:dyDescent="0.25">
      <c r="A88" s="164"/>
      <c r="B88" s="192">
        <v>8</v>
      </c>
      <c r="C88" s="99" t="s">
        <v>202</v>
      </c>
      <c r="D88" s="99"/>
      <c r="E88" s="186" t="str">
        <f>IF(F67&lt;&gt;"",AVERAGE(K67:K69),"")</f>
        <v/>
      </c>
      <c r="F88" s="99">
        <v>12</v>
      </c>
      <c r="G88" s="99"/>
      <c r="H88" s="99"/>
      <c r="I88" s="196" t="str">
        <f>IF(F67&lt;&gt;"",SUM(F81:H88),"")</f>
        <v/>
      </c>
      <c r="J88" s="196"/>
      <c r="K88" s="196" t="str">
        <f>P67</f>
        <v/>
      </c>
      <c r="L88" s="197"/>
      <c r="M88" s="200" t="str">
        <f>P67</f>
        <v/>
      </c>
      <c r="N88" s="200"/>
      <c r="O88" s="201" t="s">
        <v>213</v>
      </c>
      <c r="P88" s="201"/>
      <c r="Q88" s="202" t="str">
        <f>IF((((Q80*Q81)-Q84)/Q86)&gt;10,"10.0",((Q80*Q81)-Q84)/Q86)</f>
        <v>10.0</v>
      </c>
    </row>
    <row r="89" spans="1:17" ht="70.5" customHeight="1" x14ac:dyDescent="0.25">
      <c r="A89" s="164"/>
      <c r="B89" s="203"/>
      <c r="C89" s="204"/>
      <c r="D89" s="204"/>
      <c r="E89" s="205"/>
      <c r="F89" s="204"/>
      <c r="G89" s="204"/>
      <c r="H89" s="204"/>
      <c r="I89" s="205"/>
      <c r="J89" s="205"/>
      <c r="K89" s="205"/>
      <c r="L89" s="205"/>
      <c r="M89" s="206"/>
      <c r="N89" s="207"/>
      <c r="O89" s="218" t="str">
        <f>CONCATENATE("The maximum possible CGPA at the end of 8th semester even if the GPA is at the rate of ", Q88, "  in all the remaining semsters is")</f>
        <v>The maximum possible CGPA at the end of 8th semester even if the GPA is at the rate of 10.0  in all the remaining semsters is</v>
      </c>
      <c r="P89" s="218"/>
      <c r="Q89" s="208">
        <f>(Q84+(Q86*Q88))/Q81</f>
        <v>7.6686846478868338</v>
      </c>
    </row>
    <row r="90" spans="1:17" ht="27" customHeight="1" x14ac:dyDescent="0.25">
      <c r="A90" s="164"/>
      <c r="B90" s="165"/>
      <c r="C90" s="165"/>
      <c r="D90" s="165"/>
      <c r="E90" s="209"/>
      <c r="F90" s="165"/>
      <c r="G90" s="165"/>
      <c r="H90" s="165"/>
      <c r="I90" s="209"/>
      <c r="J90" s="165"/>
      <c r="K90" s="165"/>
      <c r="L90" s="165"/>
      <c r="M90" s="210"/>
      <c r="N90" s="211"/>
      <c r="O90" s="211"/>
      <c r="P90" s="172"/>
      <c r="Q90" s="211"/>
    </row>
    <row r="91" spans="1:17" x14ac:dyDescent="0.25">
      <c r="A91" s="165"/>
      <c r="B91" s="165"/>
      <c r="C91" s="165"/>
      <c r="D91" s="165"/>
      <c r="E91" s="165"/>
      <c r="F91" s="165"/>
      <c r="G91" s="165"/>
      <c r="H91" s="165"/>
      <c r="I91" s="165"/>
      <c r="J91" s="165"/>
      <c r="K91" s="165"/>
      <c r="L91" s="165"/>
      <c r="M91" s="165"/>
      <c r="N91" s="165"/>
      <c r="O91" s="165"/>
      <c r="P91" s="165"/>
      <c r="Q91" s="165"/>
    </row>
    <row r="92" spans="1:17" x14ac:dyDescent="0.25">
      <c r="A92" s="212" t="s">
        <v>188</v>
      </c>
      <c r="B92" s="213" t="s">
        <v>189</v>
      </c>
      <c r="C92" s="165"/>
      <c r="D92" s="165"/>
      <c r="E92" s="165"/>
      <c r="F92" s="165"/>
      <c r="G92" s="165"/>
      <c r="H92" s="165"/>
      <c r="I92" s="165"/>
      <c r="J92" s="165"/>
      <c r="K92" s="165"/>
      <c r="L92" s="165"/>
      <c r="M92" s="165"/>
      <c r="N92" s="165"/>
      <c r="O92" s="165"/>
      <c r="P92" s="165"/>
      <c r="Q92" s="166"/>
    </row>
    <row r="93" spans="1:17" x14ac:dyDescent="0.25">
      <c r="A93" s="164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6"/>
    </row>
    <row r="94" spans="1:17" x14ac:dyDescent="0.25">
      <c r="A94" s="164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6"/>
    </row>
    <row r="95" spans="1:17" x14ac:dyDescent="0.25">
      <c r="A95" s="164"/>
      <c r="B95" s="165"/>
      <c r="C95" s="165"/>
      <c r="D95" s="165"/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66"/>
    </row>
    <row r="96" spans="1:17" x14ac:dyDescent="0.25">
      <c r="A96" s="164"/>
      <c r="B96" s="155"/>
      <c r="C96" s="155"/>
      <c r="D96" s="155"/>
      <c r="E96" s="165"/>
      <c r="F96" s="165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66"/>
    </row>
    <row r="97" spans="1:17" x14ac:dyDescent="0.25">
      <c r="A97" s="164"/>
      <c r="B97" s="155"/>
      <c r="C97" s="155"/>
      <c r="D97" s="15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66"/>
    </row>
    <row r="98" spans="1:17" x14ac:dyDescent="0.25">
      <c r="A98" s="164"/>
      <c r="B98" s="155"/>
      <c r="C98" s="155"/>
      <c r="D98" s="155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6"/>
    </row>
    <row r="99" spans="1:17" x14ac:dyDescent="0.25">
      <c r="A99" s="164"/>
      <c r="B99" s="155"/>
      <c r="C99" s="155"/>
      <c r="D99" s="155"/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6"/>
    </row>
    <row r="100" spans="1:17" x14ac:dyDescent="0.25">
      <c r="A100" s="164"/>
      <c r="B100" s="155"/>
      <c r="C100" s="155"/>
      <c r="D100" s="155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6"/>
    </row>
    <row r="101" spans="1:17" x14ac:dyDescent="0.25">
      <c r="A101" s="164"/>
      <c r="B101" s="155"/>
      <c r="C101" s="155"/>
      <c r="D101" s="155"/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166"/>
    </row>
    <row r="102" spans="1:17" x14ac:dyDescent="0.25">
      <c r="A102" s="164"/>
      <c r="B102" s="155"/>
      <c r="C102" s="155"/>
      <c r="D102" s="155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65"/>
      <c r="Q102" s="166"/>
    </row>
    <row r="103" spans="1:17" x14ac:dyDescent="0.25">
      <c r="A103" s="164"/>
      <c r="B103" s="155"/>
      <c r="C103" s="155"/>
      <c r="D103" s="155"/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166"/>
    </row>
    <row r="104" spans="1:17" x14ac:dyDescent="0.25">
      <c r="A104" s="164"/>
      <c r="B104" s="155"/>
      <c r="C104" s="155"/>
      <c r="D104" s="15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165"/>
      <c r="Q104" s="166"/>
    </row>
    <row r="105" spans="1:17" x14ac:dyDescent="0.25">
      <c r="A105" s="164"/>
      <c r="B105" s="155"/>
      <c r="C105" s="155"/>
      <c r="D105" s="155"/>
      <c r="E105" s="165"/>
      <c r="F105" s="165"/>
      <c r="G105" s="165"/>
      <c r="H105" s="165"/>
      <c r="I105" s="165"/>
      <c r="J105" s="165"/>
      <c r="K105" s="165"/>
      <c r="L105" s="165"/>
      <c r="M105" s="165"/>
      <c r="N105" s="165"/>
      <c r="O105" s="165"/>
      <c r="P105" s="165"/>
      <c r="Q105" s="166"/>
    </row>
    <row r="106" spans="1:17" x14ac:dyDescent="0.25">
      <c r="A106" s="164"/>
      <c r="B106" s="155"/>
      <c r="C106" s="155"/>
      <c r="D106" s="15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  <c r="P106" s="165"/>
      <c r="Q106" s="166"/>
    </row>
    <row r="107" spans="1:17" x14ac:dyDescent="0.25">
      <c r="A107" s="164"/>
      <c r="B107" s="155"/>
      <c r="C107" s="155"/>
      <c r="D107" s="15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6"/>
    </row>
    <row r="108" spans="1:17" x14ac:dyDescent="0.25">
      <c r="A108" s="164"/>
      <c r="B108" s="155"/>
      <c r="C108" s="155"/>
      <c r="D108" s="155"/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66"/>
    </row>
    <row r="109" spans="1:17" x14ac:dyDescent="0.25">
      <c r="A109" s="164"/>
      <c r="B109" s="155"/>
      <c r="C109" s="155"/>
      <c r="D109" s="155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6"/>
    </row>
    <row r="110" spans="1:17" x14ac:dyDescent="0.25">
      <c r="A110" s="164"/>
      <c r="B110" s="155"/>
      <c r="C110" s="155"/>
      <c r="D110" s="155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66"/>
    </row>
    <row r="111" spans="1:17" x14ac:dyDescent="0.25">
      <c r="A111" s="164"/>
      <c r="B111" s="155"/>
      <c r="C111" s="155"/>
      <c r="D111" s="15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6"/>
    </row>
    <row r="112" spans="1:17" x14ac:dyDescent="0.25">
      <c r="A112" s="164"/>
      <c r="B112" s="155"/>
      <c r="C112" s="155"/>
      <c r="D112" s="15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66"/>
    </row>
    <row r="113" spans="1:17" x14ac:dyDescent="0.25">
      <c r="A113" s="164"/>
      <c r="B113" s="155"/>
      <c r="C113" s="155"/>
      <c r="D113" s="15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6"/>
    </row>
    <row r="114" spans="1:17" x14ac:dyDescent="0.25">
      <c r="A114" s="164"/>
      <c r="B114" s="165"/>
      <c r="C114" s="165"/>
      <c r="D114" s="165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66"/>
    </row>
    <row r="115" spans="1:17" x14ac:dyDescent="0.25">
      <c r="A115" s="164"/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66"/>
    </row>
    <row r="116" spans="1:17" x14ac:dyDescent="0.25">
      <c r="A116" s="164"/>
      <c r="B116" s="165"/>
      <c r="C116" s="165"/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6"/>
    </row>
    <row r="117" spans="1:17" ht="21.75" x14ac:dyDescent="0.25">
      <c r="A117" s="163" t="s">
        <v>219</v>
      </c>
      <c r="B117" s="103" t="s">
        <v>217</v>
      </c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4"/>
    </row>
    <row r="118" spans="1:17" x14ac:dyDescent="0.25">
      <c r="A118" s="164"/>
      <c r="B118" s="165"/>
      <c r="C118" s="165"/>
      <c r="D118" s="165"/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66"/>
    </row>
    <row r="119" spans="1:17" x14ac:dyDescent="0.25">
      <c r="A119" s="164"/>
      <c r="B119" s="219" t="s">
        <v>218</v>
      </c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6"/>
    </row>
    <row r="120" spans="1:17" x14ac:dyDescent="0.25">
      <c r="A120" s="164"/>
      <c r="B120" s="165"/>
      <c r="C120" s="165"/>
      <c r="D120" s="165"/>
      <c r="E120" s="165"/>
      <c r="F120" s="165"/>
      <c r="G120" s="165"/>
      <c r="H120" s="165"/>
      <c r="I120" s="165"/>
      <c r="J120" s="165"/>
      <c r="K120" s="165"/>
      <c r="L120" s="165"/>
      <c r="M120" s="165"/>
      <c r="N120" s="165"/>
      <c r="O120" s="165"/>
      <c r="P120" s="165"/>
      <c r="Q120" s="166"/>
    </row>
    <row r="121" spans="1:17" x14ac:dyDescent="0.25">
      <c r="A121" s="214"/>
      <c r="B121" s="215"/>
      <c r="C121" s="215"/>
      <c r="D121" s="215"/>
      <c r="E121" s="21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6"/>
    </row>
  </sheetData>
  <mergeCells count="170">
    <mergeCell ref="M86:N86"/>
    <mergeCell ref="M87:N87"/>
    <mergeCell ref="M88:N88"/>
    <mergeCell ref="B117:Q117"/>
    <mergeCell ref="O86:P86"/>
    <mergeCell ref="O87:P87"/>
    <mergeCell ref="O88:P88"/>
    <mergeCell ref="O89:P89"/>
    <mergeCell ref="M80:N80"/>
    <mergeCell ref="M81:N81"/>
    <mergeCell ref="M82:N82"/>
    <mergeCell ref="M83:N83"/>
    <mergeCell ref="M84:N84"/>
    <mergeCell ref="M85:N85"/>
    <mergeCell ref="I85:J85"/>
    <mergeCell ref="I86:J86"/>
    <mergeCell ref="I87:J87"/>
    <mergeCell ref="I88:J88"/>
    <mergeCell ref="O80:P80"/>
    <mergeCell ref="O81:P81"/>
    <mergeCell ref="O82:P82"/>
    <mergeCell ref="O83:P83"/>
    <mergeCell ref="O84:P84"/>
    <mergeCell ref="O85:P85"/>
    <mergeCell ref="I80:J80"/>
    <mergeCell ref="K80:L80"/>
    <mergeCell ref="K81:L81"/>
    <mergeCell ref="K82:L82"/>
    <mergeCell ref="K83:L83"/>
    <mergeCell ref="K84:L84"/>
    <mergeCell ref="I59:I66"/>
    <mergeCell ref="I67:I69"/>
    <mergeCell ref="F78:I78"/>
    <mergeCell ref="C87:D87"/>
    <mergeCell ref="F87:H87"/>
    <mergeCell ref="C88:D88"/>
    <mergeCell ref="F88:H88"/>
    <mergeCell ref="K87:L87"/>
    <mergeCell ref="K88:L88"/>
    <mergeCell ref="C85:D85"/>
    <mergeCell ref="F85:H85"/>
    <mergeCell ref="C86:D86"/>
    <mergeCell ref="F86:H86"/>
    <mergeCell ref="K85:L85"/>
    <mergeCell ref="K86:L86"/>
    <mergeCell ref="C83:D83"/>
    <mergeCell ref="F83:H83"/>
    <mergeCell ref="C84:D84"/>
    <mergeCell ref="F84:H84"/>
    <mergeCell ref="I83:J83"/>
    <mergeCell ref="I84:J84"/>
    <mergeCell ref="C81:D81"/>
    <mergeCell ref="F81:H81"/>
    <mergeCell ref="C82:D82"/>
    <mergeCell ref="F82:H82"/>
    <mergeCell ref="I81:J81"/>
    <mergeCell ref="I82:J82"/>
    <mergeCell ref="B75:E75"/>
    <mergeCell ref="F75:H75"/>
    <mergeCell ref="C80:D80"/>
    <mergeCell ref="F80:H80"/>
    <mergeCell ref="B76:E76"/>
    <mergeCell ref="F76:H76"/>
    <mergeCell ref="A70:Q70"/>
    <mergeCell ref="B71:Q71"/>
    <mergeCell ref="B73:E73"/>
    <mergeCell ref="F73:H73"/>
    <mergeCell ref="B74:E74"/>
    <mergeCell ref="F74:H74"/>
    <mergeCell ref="F79:I79"/>
    <mergeCell ref="P59:P66"/>
    <mergeCell ref="Q59:Q66"/>
    <mergeCell ref="C65:C66"/>
    <mergeCell ref="B67:B69"/>
    <mergeCell ref="C67:C68"/>
    <mergeCell ref="M67:M69"/>
    <mergeCell ref="N67:N69"/>
    <mergeCell ref="O67:O69"/>
    <mergeCell ref="P67:P69"/>
    <mergeCell ref="Q67:Q69"/>
    <mergeCell ref="P51:P58"/>
    <mergeCell ref="Q51:Q58"/>
    <mergeCell ref="C57:C58"/>
    <mergeCell ref="A59:A69"/>
    <mergeCell ref="B59:B66"/>
    <mergeCell ref="C59:C64"/>
    <mergeCell ref="M59:M66"/>
    <mergeCell ref="N59:N66"/>
    <mergeCell ref="O59:O66"/>
    <mergeCell ref="O42:O50"/>
    <mergeCell ref="P42:P50"/>
    <mergeCell ref="Q42:Q50"/>
    <mergeCell ref="C47:C50"/>
    <mergeCell ref="B51:B58"/>
    <mergeCell ref="C51:C56"/>
    <mergeCell ref="I51:I58"/>
    <mergeCell ref="M51:M58"/>
    <mergeCell ref="N51:N58"/>
    <mergeCell ref="O51:O58"/>
    <mergeCell ref="O34:O41"/>
    <mergeCell ref="P34:P41"/>
    <mergeCell ref="Q34:Q41"/>
    <mergeCell ref="C40:C41"/>
    <mergeCell ref="A42:A58"/>
    <mergeCell ref="B42:B50"/>
    <mergeCell ref="C42:C46"/>
    <mergeCell ref="I42:I50"/>
    <mergeCell ref="M42:M50"/>
    <mergeCell ref="N42:N50"/>
    <mergeCell ref="N26:N33"/>
    <mergeCell ref="O26:O33"/>
    <mergeCell ref="P26:P33"/>
    <mergeCell ref="Q26:Q33"/>
    <mergeCell ref="C32:C33"/>
    <mergeCell ref="B34:B41"/>
    <mergeCell ref="C34:C39"/>
    <mergeCell ref="I34:I41"/>
    <mergeCell ref="M34:M41"/>
    <mergeCell ref="N34:N41"/>
    <mergeCell ref="N18:N25"/>
    <mergeCell ref="O18:O25"/>
    <mergeCell ref="P18:P25"/>
    <mergeCell ref="Q18:Q25"/>
    <mergeCell ref="C24:C25"/>
    <mergeCell ref="A26:A41"/>
    <mergeCell ref="B26:B33"/>
    <mergeCell ref="C26:C31"/>
    <mergeCell ref="I26:I33"/>
    <mergeCell ref="M26:M33"/>
    <mergeCell ref="O8:O17"/>
    <mergeCell ref="P8:P17"/>
    <mergeCell ref="Q8:Q17"/>
    <mergeCell ref="C14:C17"/>
    <mergeCell ref="S16:U16"/>
    <mergeCell ref="V16:W16"/>
    <mergeCell ref="S17:U17"/>
    <mergeCell ref="V17:W17"/>
    <mergeCell ref="A8:A25"/>
    <mergeCell ref="B8:B17"/>
    <mergeCell ref="C8:C13"/>
    <mergeCell ref="I8:I17"/>
    <mergeCell ref="M8:M17"/>
    <mergeCell ref="N8:N17"/>
    <mergeCell ref="B18:B25"/>
    <mergeCell ref="C18:C23"/>
    <mergeCell ref="I18:I25"/>
    <mergeCell ref="M18:M25"/>
    <mergeCell ref="M6:M7"/>
    <mergeCell ref="N6:N7"/>
    <mergeCell ref="O6:O7"/>
    <mergeCell ref="P6:P7"/>
    <mergeCell ref="Q6:Q7"/>
    <mergeCell ref="S6:T6"/>
    <mergeCell ref="S5:U5"/>
    <mergeCell ref="A6:A7"/>
    <mergeCell ref="B6:B7"/>
    <mergeCell ref="C6:C7"/>
    <mergeCell ref="D6:D7"/>
    <mergeCell ref="E6:E7"/>
    <mergeCell ref="I6:I7"/>
    <mergeCell ref="J6:J7"/>
    <mergeCell ref="K6:K7"/>
    <mergeCell ref="L6:L7"/>
    <mergeCell ref="A1:Q1"/>
    <mergeCell ref="A2:C2"/>
    <mergeCell ref="D2:E2"/>
    <mergeCell ref="A3:C3"/>
    <mergeCell ref="D3:E3"/>
    <mergeCell ref="A4:C4"/>
    <mergeCell ref="D4:E4"/>
  </mergeCells>
  <conditionalFormatting sqref="K8:K69">
    <cfRule type="cellIs" dxfId="23" priority="14" operator="lessThan">
      <formula>5</formula>
    </cfRule>
    <cfRule type="cellIs" dxfId="22" priority="15" operator="between">
      <formula>5</formula>
      <formula>6.1</formula>
    </cfRule>
    <cfRule type="cellIs" dxfId="21" priority="16" operator="between">
      <formula>6</formula>
      <formula>7.1</formula>
    </cfRule>
    <cfRule type="cellIs" dxfId="20" priority="17" operator="between">
      <formula>7</formula>
      <formula>8.5</formula>
    </cfRule>
    <cfRule type="cellIs" dxfId="19" priority="18" operator="between">
      <formula>8</formula>
      <formula>9.1</formula>
    </cfRule>
    <cfRule type="cellIs" dxfId="18" priority="19" operator="between">
      <formula>9</formula>
      <formula>10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6"/>
  <sheetViews>
    <sheetView topLeftCell="F53" workbookViewId="0">
      <selection activeCell="B71" sqref="B71:Q71"/>
    </sheetView>
  </sheetViews>
  <sheetFormatPr defaultRowHeight="15" x14ac:dyDescent="0.25"/>
  <cols>
    <col min="1" max="1" width="5.28515625" style="20" bestFit="1" customWidth="1"/>
    <col min="2" max="2" width="13.140625" style="20" bestFit="1" customWidth="1"/>
    <col min="3" max="3" width="27.140625" style="20" bestFit="1" customWidth="1"/>
    <col min="4" max="4" width="8.85546875" style="20" customWidth="1"/>
    <col min="5" max="5" width="34.140625" style="20" customWidth="1"/>
    <col min="6" max="6" width="10.28515625" style="20" customWidth="1"/>
    <col min="7" max="7" width="10.7109375" style="20" customWidth="1"/>
    <col min="8" max="8" width="11.140625" style="20" customWidth="1"/>
    <col min="9" max="9" width="9.28515625" style="20" customWidth="1"/>
    <col min="10" max="11" width="7.7109375" style="20" customWidth="1"/>
    <col min="12" max="12" width="10" style="20" customWidth="1"/>
    <col min="13" max="13" width="13" style="20" customWidth="1"/>
    <col min="14" max="14" width="12.28515625" style="20" customWidth="1"/>
    <col min="15" max="15" width="15" style="20" customWidth="1"/>
    <col min="16" max="16" width="15.28515625" style="20" customWidth="1"/>
    <col min="17" max="17" width="22.42578125" style="20" customWidth="1"/>
    <col min="18" max="18" width="15.28515625" style="20" customWidth="1"/>
    <col min="19" max="20" width="8.140625" style="20" customWidth="1"/>
    <col min="21" max="21" width="13.140625" style="20" bestFit="1" customWidth="1"/>
    <col min="22" max="22" width="12.7109375" style="20" customWidth="1"/>
    <col min="23" max="23" width="35.28515625" style="20" customWidth="1"/>
    <col min="24" max="16384" width="9.140625" style="20"/>
  </cols>
  <sheetData>
    <row r="1" spans="1:23" ht="38.25" customHeight="1" x14ac:dyDescent="0.25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</row>
    <row r="2" spans="1:23" x14ac:dyDescent="0.25">
      <c r="A2" s="92" t="s">
        <v>39</v>
      </c>
      <c r="B2" s="93"/>
      <c r="C2" s="94"/>
      <c r="D2" s="90"/>
      <c r="E2" s="91"/>
    </row>
    <row r="3" spans="1:23" x14ac:dyDescent="0.25">
      <c r="A3" s="92" t="s">
        <v>178</v>
      </c>
      <c r="B3" s="93"/>
      <c r="C3" s="94"/>
      <c r="D3" s="90" t="s">
        <v>179</v>
      </c>
      <c r="E3" s="91"/>
    </row>
    <row r="4" spans="1:23" x14ac:dyDescent="0.25">
      <c r="A4" s="92" t="s">
        <v>180</v>
      </c>
      <c r="B4" s="93"/>
      <c r="C4" s="94"/>
      <c r="D4" s="90" t="s">
        <v>181</v>
      </c>
      <c r="E4" s="91"/>
    </row>
    <row r="5" spans="1:23" ht="18" thickBot="1" x14ac:dyDescent="0.3">
      <c r="S5" s="59" t="s">
        <v>184</v>
      </c>
      <c r="T5" s="59"/>
      <c r="U5" s="59"/>
    </row>
    <row r="6" spans="1:23" ht="39" customHeight="1" thickBot="1" x14ac:dyDescent="0.3">
      <c r="A6" s="97" t="s">
        <v>2</v>
      </c>
      <c r="B6" s="97" t="s">
        <v>3</v>
      </c>
      <c r="C6" s="97" t="s">
        <v>171</v>
      </c>
      <c r="D6" s="97" t="s">
        <v>40</v>
      </c>
      <c r="E6" s="97" t="s">
        <v>4</v>
      </c>
      <c r="F6" s="36" t="s">
        <v>5</v>
      </c>
      <c r="G6" s="36" t="s">
        <v>6</v>
      </c>
      <c r="H6" s="36" t="s">
        <v>28</v>
      </c>
      <c r="I6" s="88" t="s">
        <v>29</v>
      </c>
      <c r="J6" s="88" t="s">
        <v>7</v>
      </c>
      <c r="K6" s="88" t="s">
        <v>30</v>
      </c>
      <c r="L6" s="88" t="s">
        <v>31</v>
      </c>
      <c r="M6" s="88" t="s">
        <v>32</v>
      </c>
      <c r="N6" s="88" t="s">
        <v>33</v>
      </c>
      <c r="O6" s="88" t="s">
        <v>182</v>
      </c>
      <c r="P6" s="88" t="s">
        <v>190</v>
      </c>
      <c r="Q6" s="88" t="s">
        <v>38</v>
      </c>
      <c r="S6" s="83" t="s">
        <v>27</v>
      </c>
      <c r="T6" s="84"/>
      <c r="U6" s="21" t="s">
        <v>7</v>
      </c>
      <c r="V6" s="21" t="s">
        <v>8</v>
      </c>
      <c r="W6" s="21" t="s">
        <v>9</v>
      </c>
    </row>
    <row r="7" spans="1:23" ht="15.75" thickBot="1" x14ac:dyDescent="0.3">
      <c r="A7" s="97"/>
      <c r="B7" s="97"/>
      <c r="C7" s="97"/>
      <c r="D7" s="97"/>
      <c r="E7" s="97"/>
      <c r="F7" s="36" t="s">
        <v>176</v>
      </c>
      <c r="G7" s="36" t="s">
        <v>177</v>
      </c>
      <c r="H7" s="36" t="s">
        <v>183</v>
      </c>
      <c r="I7" s="89"/>
      <c r="J7" s="89"/>
      <c r="K7" s="89"/>
      <c r="L7" s="89"/>
      <c r="M7" s="89"/>
      <c r="N7" s="89"/>
      <c r="O7" s="89"/>
      <c r="P7" s="89"/>
      <c r="Q7" s="89"/>
      <c r="S7" s="22">
        <v>91</v>
      </c>
      <c r="T7" s="22">
        <v>100</v>
      </c>
      <c r="U7" s="22" t="s">
        <v>10</v>
      </c>
      <c r="V7" s="22">
        <v>10</v>
      </c>
      <c r="W7" s="23" t="s">
        <v>11</v>
      </c>
    </row>
    <row r="8" spans="1:23" ht="13.5" customHeight="1" thickBot="1" x14ac:dyDescent="0.3">
      <c r="A8" s="56">
        <v>1</v>
      </c>
      <c r="B8" s="56">
        <v>1</v>
      </c>
      <c r="C8" s="56" t="s">
        <v>47</v>
      </c>
      <c r="D8" s="24" t="s">
        <v>48</v>
      </c>
      <c r="E8" s="25" t="str">
        <f>VLOOKUP(D8,'Course data'!$C$4:$H$65,2,FALSE)</f>
        <v>Technical English I</v>
      </c>
      <c r="F8" s="24">
        <v>38</v>
      </c>
      <c r="G8" s="24">
        <v>35</v>
      </c>
      <c r="H8" s="24">
        <f>F8+G8</f>
        <v>73</v>
      </c>
      <c r="I8" s="82">
        <f>AVERAGE(H8:H17)</f>
        <v>61.7</v>
      </c>
      <c r="J8" s="27" t="str">
        <f>IF(AND(H8&gt;=$S$7,H8&lt;=$T$7),$U$7,IF(AND(H8&gt;=$S$8,H8&lt;=$T$8),$U$8,IF(AND(H8&gt;=$S$9,H8&lt;=$T$9),$U$9,IF(AND(H8&gt;=$S$10,H8&lt;=$T$10),$U$10,IF(AND(H8&gt;=$S$11,H8&lt;=$T$11),$U$11,IF(AND(H8&gt;=$S$12,H8&lt;=$T$12),$U$12,0))))))</f>
        <v>A</v>
      </c>
      <c r="K8" s="28">
        <f>IF(AND(H8&gt;=$S$7,H8&lt;=$T$7),$V$7,IF(AND(H8&gt;=$S$8,H8&lt;=$T$8),$V$8,IF(AND(H8&gt;=$S$9,H8&lt;=$T$9),$V$9,IF(AND(H8&gt;=$S$10,H8&lt;=$T$10),$V$10,IF(AND(H8&gt;=$S$11,H8&lt;=$T$11),$V$11,IF(AND(H8&gt;=$S$12,H8&lt;=$T$12),$V$12,0))))))</f>
        <v>8</v>
      </c>
      <c r="L8" s="24">
        <v>4</v>
      </c>
      <c r="M8" s="56">
        <f>SUM(L8:L17)</f>
        <v>27</v>
      </c>
      <c r="N8" s="77">
        <f>IF(F8&lt;&gt;"",SUMPRODUCT(K8:K17,L8:L17)/M8,"")</f>
        <v>6.0370370370370372</v>
      </c>
      <c r="O8" s="53">
        <f>M8</f>
        <v>27</v>
      </c>
      <c r="P8" s="64">
        <f>SUMPRODUCT(M8:M17,N8:N17)/O8</f>
        <v>6.0370370370370372</v>
      </c>
      <c r="Q8" s="74"/>
      <c r="S8" s="29">
        <v>81</v>
      </c>
      <c r="T8" s="29">
        <v>90</v>
      </c>
      <c r="U8" s="29" t="s">
        <v>12</v>
      </c>
      <c r="V8" s="29">
        <v>9</v>
      </c>
      <c r="W8" s="23" t="s">
        <v>13</v>
      </c>
    </row>
    <row r="9" spans="1:23" ht="13.5" customHeight="1" thickBot="1" x14ac:dyDescent="0.3">
      <c r="A9" s="56"/>
      <c r="B9" s="56"/>
      <c r="C9" s="56"/>
      <c r="D9" s="24" t="s">
        <v>50</v>
      </c>
      <c r="E9" s="25" t="str">
        <f>VLOOKUP(D9,'Course data'!$C$4:$H$65,2,FALSE)</f>
        <v>Mathematics I</v>
      </c>
      <c r="F9" s="24">
        <v>26</v>
      </c>
      <c r="G9" s="24">
        <v>38</v>
      </c>
      <c r="H9" s="24">
        <f t="shared" ref="H9:H17" si="0">F9+G9</f>
        <v>64</v>
      </c>
      <c r="I9" s="82"/>
      <c r="J9" s="27" t="str">
        <f t="shared" ref="J9:J69" si="1">IF(AND(H9&gt;=$S$7,H9&lt;=$T$7),$U$7,IF(AND(H9&gt;=$S$8,H9&lt;=$T$8),$U$8,IF(AND(H9&gt;=$S$9,H9&lt;=$T$9),$U$9,IF(AND(H9&gt;=$S$10,H9&lt;=$T$10),$U$10,IF(AND(H9&gt;=$S$11,H9&lt;=$T$11),$U$11,IF(AND(H9&gt;=$S$12,H9&lt;=$T$12),$U$12,0))))))</f>
        <v>B+</v>
      </c>
      <c r="K9" s="28">
        <f t="shared" ref="K9:K69" si="2">IF(AND(H9&gt;=$S$7,H9&lt;=$T$7),$V$7,IF(AND(H9&gt;=$S$8,H9&lt;=$T$8),$V$8,IF(AND(H9&gt;=$S$9,H9&lt;=$T$9),$V$9,IF(AND(H9&gt;=$S$10,H9&lt;=$T$10),$V$10,IF(AND(H9&gt;=$S$11,H9&lt;=$T$11),$V$11,IF(AND(H9&gt;=$S$12,H9&lt;=$T$12),$V$12,0))))))</f>
        <v>7</v>
      </c>
      <c r="L9" s="24">
        <v>4</v>
      </c>
      <c r="M9" s="56"/>
      <c r="N9" s="77"/>
      <c r="O9" s="53"/>
      <c r="P9" s="64"/>
      <c r="Q9" s="75"/>
      <c r="S9" s="30">
        <v>71</v>
      </c>
      <c r="T9" s="30">
        <v>80</v>
      </c>
      <c r="U9" s="30" t="s">
        <v>14</v>
      </c>
      <c r="V9" s="30">
        <v>8</v>
      </c>
      <c r="W9" s="23" t="s">
        <v>15</v>
      </c>
    </row>
    <row r="10" spans="1:23" ht="13.5" customHeight="1" thickBot="1" x14ac:dyDescent="0.3">
      <c r="A10" s="56"/>
      <c r="B10" s="56"/>
      <c r="C10" s="56"/>
      <c r="D10" s="24" t="s">
        <v>52</v>
      </c>
      <c r="E10" s="25" t="str">
        <f>VLOOKUP(D10,'Course data'!$C$4:$H$65,2,FALSE)</f>
        <v>Engineering Physics</v>
      </c>
      <c r="F10" s="24">
        <v>40</v>
      </c>
      <c r="G10" s="24">
        <v>38</v>
      </c>
      <c r="H10" s="24">
        <f t="shared" si="0"/>
        <v>78</v>
      </c>
      <c r="I10" s="82"/>
      <c r="J10" s="27" t="str">
        <f t="shared" si="1"/>
        <v>A</v>
      </c>
      <c r="K10" s="28">
        <f t="shared" si="2"/>
        <v>8</v>
      </c>
      <c r="L10" s="24">
        <v>3</v>
      </c>
      <c r="M10" s="56"/>
      <c r="N10" s="77"/>
      <c r="O10" s="53"/>
      <c r="P10" s="64"/>
      <c r="Q10" s="75"/>
      <c r="S10" s="31">
        <v>61</v>
      </c>
      <c r="T10" s="31">
        <v>70</v>
      </c>
      <c r="U10" s="31" t="s">
        <v>16</v>
      </c>
      <c r="V10" s="31">
        <v>7</v>
      </c>
      <c r="W10" s="23" t="s">
        <v>17</v>
      </c>
    </row>
    <row r="11" spans="1:23" ht="13.5" customHeight="1" thickBot="1" x14ac:dyDescent="0.3">
      <c r="A11" s="56"/>
      <c r="B11" s="56"/>
      <c r="C11" s="56"/>
      <c r="D11" s="24" t="s">
        <v>54</v>
      </c>
      <c r="E11" s="25" t="str">
        <f>VLOOKUP(D11,'Course data'!$C$4:$H$65,2,FALSE)</f>
        <v>Engineering Chemistry</v>
      </c>
      <c r="F11" s="24">
        <v>30</v>
      </c>
      <c r="G11" s="24">
        <v>25</v>
      </c>
      <c r="H11" s="24">
        <f t="shared" si="0"/>
        <v>55</v>
      </c>
      <c r="I11" s="82"/>
      <c r="J11" s="27" t="str">
        <f t="shared" si="1"/>
        <v>B</v>
      </c>
      <c r="K11" s="28">
        <f t="shared" si="2"/>
        <v>6</v>
      </c>
      <c r="L11" s="24">
        <v>3</v>
      </c>
      <c r="M11" s="56"/>
      <c r="N11" s="77"/>
      <c r="O11" s="53"/>
      <c r="P11" s="64"/>
      <c r="Q11" s="75"/>
      <c r="S11" s="32">
        <v>51</v>
      </c>
      <c r="T11" s="32">
        <v>60</v>
      </c>
      <c r="U11" s="32" t="s">
        <v>18</v>
      </c>
      <c r="V11" s="32">
        <v>6</v>
      </c>
      <c r="W11" s="23" t="s">
        <v>19</v>
      </c>
    </row>
    <row r="12" spans="1:23" ht="13.5" customHeight="1" thickBot="1" x14ac:dyDescent="0.3">
      <c r="A12" s="56"/>
      <c r="B12" s="56"/>
      <c r="C12" s="56"/>
      <c r="D12" s="24" t="s">
        <v>56</v>
      </c>
      <c r="E12" s="25" t="str">
        <f>VLOOKUP(D12,'Course data'!$C$4:$H$65,2,FALSE)</f>
        <v>Engineering Graphics</v>
      </c>
      <c r="F12" s="24">
        <v>35</v>
      </c>
      <c r="G12" s="24">
        <v>30</v>
      </c>
      <c r="H12" s="24">
        <f t="shared" si="0"/>
        <v>65</v>
      </c>
      <c r="I12" s="82"/>
      <c r="J12" s="27" t="str">
        <f t="shared" si="1"/>
        <v>B+</v>
      </c>
      <c r="K12" s="28">
        <f t="shared" si="2"/>
        <v>7</v>
      </c>
      <c r="L12" s="24">
        <v>4</v>
      </c>
      <c r="M12" s="56"/>
      <c r="N12" s="77"/>
      <c r="O12" s="53"/>
      <c r="P12" s="64"/>
      <c r="Q12" s="75"/>
      <c r="S12" s="33">
        <v>50</v>
      </c>
      <c r="T12" s="33">
        <v>0</v>
      </c>
      <c r="U12" s="33" t="s">
        <v>20</v>
      </c>
      <c r="V12" s="33">
        <v>0</v>
      </c>
      <c r="W12" s="23" t="s">
        <v>21</v>
      </c>
    </row>
    <row r="13" spans="1:23" ht="13.5" customHeight="1" thickBot="1" x14ac:dyDescent="0.3">
      <c r="A13" s="56"/>
      <c r="B13" s="56"/>
      <c r="C13" s="56"/>
      <c r="D13" s="24" t="s">
        <v>58</v>
      </c>
      <c r="E13" s="25" t="str">
        <f>VLOOKUP(D13,'Course data'!$C$4:$H$65,2,FALSE)</f>
        <v>Computing Techniques</v>
      </c>
      <c r="F13" s="24">
        <v>19</v>
      </c>
      <c r="G13" s="24">
        <v>25</v>
      </c>
      <c r="H13" s="24">
        <f t="shared" si="0"/>
        <v>44</v>
      </c>
      <c r="I13" s="82"/>
      <c r="J13" s="27">
        <f t="shared" si="1"/>
        <v>0</v>
      </c>
      <c r="K13" s="28">
        <f t="shared" si="2"/>
        <v>0</v>
      </c>
      <c r="L13" s="24">
        <v>3</v>
      </c>
      <c r="M13" s="56"/>
      <c r="N13" s="77"/>
      <c r="O13" s="53"/>
      <c r="P13" s="64"/>
      <c r="Q13" s="75"/>
      <c r="S13" s="34" t="s">
        <v>22</v>
      </c>
      <c r="T13" s="34"/>
      <c r="U13" s="34" t="s">
        <v>23</v>
      </c>
      <c r="V13" s="34">
        <v>0</v>
      </c>
      <c r="W13" s="34" t="s">
        <v>24</v>
      </c>
    </row>
    <row r="14" spans="1:23" ht="13.5" customHeight="1" thickBot="1" x14ac:dyDescent="0.3">
      <c r="A14" s="56"/>
      <c r="B14" s="56"/>
      <c r="C14" s="56" t="s">
        <v>60</v>
      </c>
      <c r="D14" s="24" t="s">
        <v>61</v>
      </c>
      <c r="E14" s="25" t="str">
        <f>VLOOKUP(D14,'Course data'!$C$4:$H$65,2,FALSE)</f>
        <v>Physics Laboratory</v>
      </c>
      <c r="F14" s="24">
        <v>23</v>
      </c>
      <c r="G14" s="24">
        <v>27</v>
      </c>
      <c r="H14" s="24">
        <f t="shared" si="0"/>
        <v>50</v>
      </c>
      <c r="I14" s="82"/>
      <c r="J14" s="27">
        <f t="shared" si="1"/>
        <v>0</v>
      </c>
      <c r="K14" s="28">
        <f t="shared" si="2"/>
        <v>0</v>
      </c>
      <c r="L14" s="24">
        <v>1</v>
      </c>
      <c r="M14" s="56"/>
      <c r="N14" s="77"/>
      <c r="O14" s="53"/>
      <c r="P14" s="64"/>
      <c r="Q14" s="75"/>
      <c r="S14" s="34" t="s">
        <v>22</v>
      </c>
      <c r="T14" s="34"/>
      <c r="U14" s="34" t="s">
        <v>25</v>
      </c>
      <c r="V14" s="34">
        <v>0</v>
      </c>
      <c r="W14" s="34" t="s">
        <v>26</v>
      </c>
    </row>
    <row r="15" spans="1:23" ht="12.75" customHeight="1" x14ac:dyDescent="0.25">
      <c r="A15" s="56"/>
      <c r="B15" s="56"/>
      <c r="C15" s="56"/>
      <c r="D15" s="24" t="s">
        <v>63</v>
      </c>
      <c r="E15" s="25" t="str">
        <f>VLOOKUP(D15,'Course data'!$C$4:$H$65,2,FALSE)</f>
        <v>Chemistry Laboratory</v>
      </c>
      <c r="F15" s="24">
        <v>38</v>
      </c>
      <c r="G15" s="24">
        <v>30</v>
      </c>
      <c r="H15" s="24">
        <f t="shared" si="0"/>
        <v>68</v>
      </c>
      <c r="I15" s="82"/>
      <c r="J15" s="27" t="str">
        <f t="shared" si="1"/>
        <v>B+</v>
      </c>
      <c r="K15" s="28">
        <f t="shared" si="2"/>
        <v>7</v>
      </c>
      <c r="L15" s="24">
        <v>1</v>
      </c>
      <c r="M15" s="56"/>
      <c r="N15" s="77"/>
      <c r="O15" s="53"/>
      <c r="P15" s="64"/>
      <c r="Q15" s="75"/>
    </row>
    <row r="16" spans="1:23" ht="12.75" customHeight="1" x14ac:dyDescent="0.25">
      <c r="A16" s="56"/>
      <c r="B16" s="56"/>
      <c r="C16" s="56"/>
      <c r="D16" s="24" t="s">
        <v>65</v>
      </c>
      <c r="E16" s="25" t="str">
        <f>VLOOKUP(D16,'Course data'!$C$4:$H$65,2,FALSE)</f>
        <v>Engineering Practices Laboratory</v>
      </c>
      <c r="F16" s="24">
        <v>30</v>
      </c>
      <c r="G16" s="24">
        <v>25</v>
      </c>
      <c r="H16" s="24">
        <f t="shared" si="0"/>
        <v>55</v>
      </c>
      <c r="I16" s="82"/>
      <c r="J16" s="27" t="str">
        <f t="shared" si="1"/>
        <v>B</v>
      </c>
      <c r="K16" s="28">
        <f t="shared" si="2"/>
        <v>6</v>
      </c>
      <c r="L16" s="24">
        <v>2</v>
      </c>
      <c r="M16" s="56"/>
      <c r="N16" s="77"/>
      <c r="O16" s="53"/>
      <c r="P16" s="64"/>
      <c r="Q16" s="75"/>
      <c r="S16" s="85" t="s">
        <v>36</v>
      </c>
      <c r="T16" s="86"/>
      <c r="U16" s="87"/>
      <c r="V16" s="57" t="s">
        <v>34</v>
      </c>
      <c r="W16" s="58"/>
    </row>
    <row r="17" spans="1:23" ht="12.75" customHeight="1" x14ac:dyDescent="0.25">
      <c r="A17" s="56"/>
      <c r="B17" s="56"/>
      <c r="C17" s="56"/>
      <c r="D17" s="24" t="s">
        <v>67</v>
      </c>
      <c r="E17" s="25" t="str">
        <f>VLOOKUP(D17,'Course data'!$C$4:$H$65,2,FALSE)</f>
        <v>Computer Practice Laboratory</v>
      </c>
      <c r="F17" s="24">
        <v>28</v>
      </c>
      <c r="G17" s="24">
        <v>37</v>
      </c>
      <c r="H17" s="24">
        <f t="shared" si="0"/>
        <v>65</v>
      </c>
      <c r="I17" s="82"/>
      <c r="J17" s="27" t="str">
        <f t="shared" si="1"/>
        <v>B+</v>
      </c>
      <c r="K17" s="28">
        <f t="shared" si="2"/>
        <v>7</v>
      </c>
      <c r="L17" s="24">
        <v>2</v>
      </c>
      <c r="M17" s="56"/>
      <c r="N17" s="77"/>
      <c r="O17" s="53"/>
      <c r="P17" s="64"/>
      <c r="Q17" s="76"/>
      <c r="S17" s="85" t="s">
        <v>37</v>
      </c>
      <c r="T17" s="86"/>
      <c r="U17" s="87"/>
      <c r="V17" s="95" t="s">
        <v>35</v>
      </c>
      <c r="W17" s="95"/>
    </row>
    <row r="18" spans="1:23" ht="12.75" customHeight="1" x14ac:dyDescent="0.25">
      <c r="A18" s="56"/>
      <c r="B18" s="56">
        <v>2</v>
      </c>
      <c r="C18" s="56" t="s">
        <v>47</v>
      </c>
      <c r="D18" s="24" t="s">
        <v>70</v>
      </c>
      <c r="E18" s="25" t="str">
        <f>VLOOKUP(D18,'Course data'!$C$4:$H$65,2,FALSE)</f>
        <v>Technical English II</v>
      </c>
      <c r="F18" s="24">
        <v>38</v>
      </c>
      <c r="G18" s="24">
        <v>34</v>
      </c>
      <c r="H18" s="24">
        <f t="shared" ref="H18:H65" si="3">F18+G18</f>
        <v>72</v>
      </c>
      <c r="I18" s="79">
        <f>AVERAGE(H18:H25)</f>
        <v>69.625</v>
      </c>
      <c r="J18" s="27" t="str">
        <f t="shared" si="1"/>
        <v>A</v>
      </c>
      <c r="K18" s="28">
        <f t="shared" si="2"/>
        <v>8</v>
      </c>
      <c r="L18" s="24">
        <v>4</v>
      </c>
      <c r="M18" s="74">
        <f>SUM(L18:L25)</f>
        <v>24</v>
      </c>
      <c r="N18" s="72">
        <f>IF(F18&lt;&gt;"",SUMPRODUCT(K18:K25,L18:L25)/M18,"")</f>
        <v>6.5</v>
      </c>
      <c r="O18" s="68">
        <f>SUM(M8:M25)</f>
        <v>51</v>
      </c>
      <c r="P18" s="65">
        <f>SUMPRODUCT(M8:M25,N8:N25)/O18</f>
        <v>6.2549019607843137</v>
      </c>
      <c r="Q18" s="74"/>
    </row>
    <row r="19" spans="1:23" ht="12.75" customHeight="1" x14ac:dyDescent="0.25">
      <c r="A19" s="56"/>
      <c r="B19" s="56"/>
      <c r="C19" s="56"/>
      <c r="D19" s="24" t="s">
        <v>72</v>
      </c>
      <c r="E19" s="25" t="str">
        <f>VLOOKUP(D19,'Course data'!$C$4:$H$65,2,FALSE)</f>
        <v>Mathematics II</v>
      </c>
      <c r="F19" s="24">
        <v>21</v>
      </c>
      <c r="G19" s="24">
        <v>28</v>
      </c>
      <c r="H19" s="24">
        <f t="shared" si="3"/>
        <v>49</v>
      </c>
      <c r="I19" s="80"/>
      <c r="J19" s="27">
        <f t="shared" si="1"/>
        <v>0</v>
      </c>
      <c r="K19" s="28">
        <f t="shared" si="2"/>
        <v>0</v>
      </c>
      <c r="L19" s="24">
        <v>4</v>
      </c>
      <c r="M19" s="75"/>
      <c r="N19" s="73"/>
      <c r="O19" s="69"/>
      <c r="P19" s="66"/>
      <c r="Q19" s="75"/>
    </row>
    <row r="20" spans="1:23" ht="12.75" customHeight="1" x14ac:dyDescent="0.25">
      <c r="A20" s="56"/>
      <c r="B20" s="56"/>
      <c r="C20" s="56"/>
      <c r="D20" s="24" t="s">
        <v>74</v>
      </c>
      <c r="E20" s="25" t="str">
        <f>VLOOKUP(D20,'Course data'!$C$4:$H$65,2,FALSE)</f>
        <v>Physics for Information Science</v>
      </c>
      <c r="F20" s="24">
        <v>29</v>
      </c>
      <c r="G20" s="24">
        <v>35</v>
      </c>
      <c r="H20" s="24">
        <f t="shared" si="3"/>
        <v>64</v>
      </c>
      <c r="I20" s="80"/>
      <c r="J20" s="27" t="str">
        <f t="shared" si="1"/>
        <v>B+</v>
      </c>
      <c r="K20" s="28">
        <f t="shared" si="2"/>
        <v>7</v>
      </c>
      <c r="L20" s="24">
        <v>3</v>
      </c>
      <c r="M20" s="75"/>
      <c r="N20" s="73"/>
      <c r="O20" s="69"/>
      <c r="P20" s="66"/>
      <c r="Q20" s="75"/>
    </row>
    <row r="21" spans="1:23" ht="15" customHeight="1" x14ac:dyDescent="0.25">
      <c r="A21" s="56"/>
      <c r="B21" s="56"/>
      <c r="C21" s="56"/>
      <c r="D21" s="24" t="s">
        <v>76</v>
      </c>
      <c r="E21" s="25" t="str">
        <f>VLOOKUP(D21,'Course data'!$C$4:$H$65,2,FALSE)</f>
        <v>Principles of Computer Engineering</v>
      </c>
      <c r="F21" s="24">
        <v>49</v>
      </c>
      <c r="G21" s="24">
        <v>47</v>
      </c>
      <c r="H21" s="24">
        <f t="shared" si="3"/>
        <v>96</v>
      </c>
      <c r="I21" s="80"/>
      <c r="J21" s="27" t="str">
        <f t="shared" si="1"/>
        <v>O</v>
      </c>
      <c r="K21" s="28">
        <f t="shared" si="2"/>
        <v>10</v>
      </c>
      <c r="L21" s="24">
        <v>3</v>
      </c>
      <c r="M21" s="75"/>
      <c r="N21" s="73"/>
      <c r="O21" s="69"/>
      <c r="P21" s="66"/>
      <c r="Q21" s="75"/>
      <c r="R21" s="35"/>
    </row>
    <row r="22" spans="1:23" ht="12.75" customHeight="1" x14ac:dyDescent="0.25">
      <c r="A22" s="56"/>
      <c r="B22" s="56"/>
      <c r="C22" s="56"/>
      <c r="D22" s="24" t="s">
        <v>78</v>
      </c>
      <c r="E22" s="25" t="str">
        <f>VLOOKUP(D22,'Course data'!$C$4:$H$65,2,FALSE)</f>
        <v>Programming using C++</v>
      </c>
      <c r="F22" s="24">
        <v>30</v>
      </c>
      <c r="G22" s="24">
        <v>25</v>
      </c>
      <c r="H22" s="24">
        <f t="shared" si="3"/>
        <v>55</v>
      </c>
      <c r="I22" s="80"/>
      <c r="J22" s="27" t="str">
        <f t="shared" si="1"/>
        <v>B</v>
      </c>
      <c r="K22" s="28">
        <f t="shared" si="2"/>
        <v>6</v>
      </c>
      <c r="L22" s="24">
        <v>3</v>
      </c>
      <c r="M22" s="75"/>
      <c r="N22" s="73"/>
      <c r="O22" s="69"/>
      <c r="P22" s="66"/>
      <c r="Q22" s="75"/>
    </row>
    <row r="23" spans="1:23" ht="15" customHeight="1" x14ac:dyDescent="0.25">
      <c r="A23" s="56"/>
      <c r="B23" s="56"/>
      <c r="C23" s="56"/>
      <c r="D23" s="24" t="s">
        <v>80</v>
      </c>
      <c r="E23" s="25" t="str">
        <f>VLOOKUP(D23,'Course data'!$C$4:$H$65,2,FALSE)</f>
        <v>Digital Principles and System Design</v>
      </c>
      <c r="F23" s="24">
        <v>47</v>
      </c>
      <c r="G23" s="24">
        <v>42</v>
      </c>
      <c r="H23" s="24">
        <f t="shared" si="3"/>
        <v>89</v>
      </c>
      <c r="I23" s="80"/>
      <c r="J23" s="27" t="str">
        <f t="shared" si="1"/>
        <v>A+</v>
      </c>
      <c r="K23" s="28">
        <f t="shared" si="2"/>
        <v>9</v>
      </c>
      <c r="L23" s="24">
        <v>3</v>
      </c>
      <c r="M23" s="75"/>
      <c r="N23" s="73"/>
      <c r="O23" s="69"/>
      <c r="P23" s="66"/>
      <c r="Q23" s="75"/>
      <c r="U23"/>
      <c r="V23"/>
      <c r="W23"/>
    </row>
    <row r="24" spans="1:23" x14ac:dyDescent="0.25">
      <c r="A24" s="56"/>
      <c r="B24" s="56"/>
      <c r="C24" s="56" t="s">
        <v>60</v>
      </c>
      <c r="D24" s="24" t="s">
        <v>82</v>
      </c>
      <c r="E24" s="25" t="str">
        <f>VLOOKUP(D24,'Course data'!$C$4:$H$65,2,FALSE)</f>
        <v>Programming Laboratory </v>
      </c>
      <c r="F24" s="24">
        <v>50</v>
      </c>
      <c r="G24" s="24">
        <v>25</v>
      </c>
      <c r="H24" s="24">
        <f t="shared" si="3"/>
        <v>75</v>
      </c>
      <c r="I24" s="80"/>
      <c r="J24" s="27" t="str">
        <f t="shared" si="1"/>
        <v>A</v>
      </c>
      <c r="K24" s="28">
        <f t="shared" si="2"/>
        <v>8</v>
      </c>
      <c r="L24" s="24">
        <v>2</v>
      </c>
      <c r="M24" s="75"/>
      <c r="N24" s="73"/>
      <c r="O24" s="69"/>
      <c r="P24" s="66"/>
      <c r="Q24" s="75"/>
      <c r="U24"/>
      <c r="V24"/>
      <c r="W24"/>
    </row>
    <row r="25" spans="1:23" x14ac:dyDescent="0.25">
      <c r="A25" s="56"/>
      <c r="B25" s="56"/>
      <c r="C25" s="56"/>
      <c r="D25" s="24" t="s">
        <v>84</v>
      </c>
      <c r="E25" s="25" t="str">
        <f>VLOOKUP(D25,'Course data'!$C$4:$H$65,2,FALSE)</f>
        <v>Digital Laboratory</v>
      </c>
      <c r="F25" s="24">
        <v>35</v>
      </c>
      <c r="G25" s="24">
        <v>22</v>
      </c>
      <c r="H25" s="24">
        <f t="shared" si="3"/>
        <v>57</v>
      </c>
      <c r="I25" s="81"/>
      <c r="J25" s="27" t="str">
        <f t="shared" si="1"/>
        <v>B</v>
      </c>
      <c r="K25" s="28">
        <f t="shared" si="2"/>
        <v>6</v>
      </c>
      <c r="L25" s="24">
        <v>2</v>
      </c>
      <c r="M25" s="76"/>
      <c r="N25" s="78"/>
      <c r="O25" s="70"/>
      <c r="P25" s="67"/>
      <c r="Q25" s="76"/>
      <c r="U25"/>
      <c r="V25"/>
      <c r="W25"/>
    </row>
    <row r="26" spans="1:23" ht="15" customHeight="1" x14ac:dyDescent="0.25">
      <c r="A26" s="56">
        <v>2</v>
      </c>
      <c r="B26" s="56">
        <v>3</v>
      </c>
      <c r="C26" s="56" t="s">
        <v>47</v>
      </c>
      <c r="D26" s="24" t="s">
        <v>86</v>
      </c>
      <c r="E26" s="25" t="str">
        <f>VLOOKUP(D26,'Course data'!$C$4:$H$65,2,FALSE)</f>
        <v>Algebra &amp; Number Theory</v>
      </c>
      <c r="F26" s="24">
        <v>19</v>
      </c>
      <c r="G26" s="24">
        <v>25</v>
      </c>
      <c r="H26" s="24">
        <f t="shared" si="3"/>
        <v>44</v>
      </c>
      <c r="I26" s="79">
        <f>AVERAGE(H26:H33)</f>
        <v>78.875</v>
      </c>
      <c r="J26" s="27">
        <f t="shared" si="1"/>
        <v>0</v>
      </c>
      <c r="K26" s="28">
        <f t="shared" si="2"/>
        <v>0</v>
      </c>
      <c r="L26" s="24">
        <v>4</v>
      </c>
      <c r="M26" s="74">
        <f>SUM(L26:L33)</f>
        <v>24</v>
      </c>
      <c r="N26" s="72">
        <f>IF(F26&lt;&gt;"",SUMPRODUCT(K26:K33,L26:L33)/M26,"")</f>
        <v>7.458333333333333</v>
      </c>
      <c r="O26" s="68">
        <f>SUM(M8:M33)</f>
        <v>75</v>
      </c>
      <c r="P26" s="65">
        <f>SUMPRODUCT(M8:M33,N8:N33)/O26</f>
        <v>6.64</v>
      </c>
      <c r="Q26" s="74"/>
      <c r="U26"/>
      <c r="V26"/>
      <c r="W26"/>
    </row>
    <row r="27" spans="1:23" ht="30" x14ac:dyDescent="0.25">
      <c r="A27" s="56"/>
      <c r="B27" s="56"/>
      <c r="C27" s="56"/>
      <c r="D27" s="24" t="s">
        <v>88</v>
      </c>
      <c r="E27" s="25" t="str">
        <f>VLOOKUP(D27,'Course data'!$C$4:$H$65,2,FALSE)</f>
        <v>Electronic Devices and Circuits for Computer Engineers</v>
      </c>
      <c r="F27" s="24">
        <v>38</v>
      </c>
      <c r="G27" s="24">
        <v>43</v>
      </c>
      <c r="H27" s="24">
        <f t="shared" si="3"/>
        <v>81</v>
      </c>
      <c r="I27" s="80"/>
      <c r="J27" s="27" t="str">
        <f t="shared" si="1"/>
        <v>A+</v>
      </c>
      <c r="K27" s="28">
        <f t="shared" si="2"/>
        <v>9</v>
      </c>
      <c r="L27" s="24">
        <v>3</v>
      </c>
      <c r="M27" s="75"/>
      <c r="N27" s="73"/>
      <c r="O27" s="69"/>
      <c r="P27" s="66"/>
      <c r="Q27" s="75"/>
      <c r="U27"/>
      <c r="V27"/>
      <c r="W27"/>
    </row>
    <row r="28" spans="1:23" ht="15" customHeight="1" x14ac:dyDescent="0.25">
      <c r="A28" s="56"/>
      <c r="B28" s="56"/>
      <c r="C28" s="56"/>
      <c r="D28" s="24" t="s">
        <v>90</v>
      </c>
      <c r="E28" s="25" t="str">
        <f>VLOOKUP(D28,'Course data'!$C$4:$H$65,2,FALSE)</f>
        <v>Data Structures</v>
      </c>
      <c r="F28" s="24">
        <v>45</v>
      </c>
      <c r="G28" s="24">
        <v>49</v>
      </c>
      <c r="H28" s="24">
        <f t="shared" si="3"/>
        <v>94</v>
      </c>
      <c r="I28" s="80"/>
      <c r="J28" s="27" t="str">
        <f t="shared" si="1"/>
        <v>O</v>
      </c>
      <c r="K28" s="28">
        <f t="shared" si="2"/>
        <v>10</v>
      </c>
      <c r="L28" s="24">
        <v>3</v>
      </c>
      <c r="M28" s="75"/>
      <c r="N28" s="73"/>
      <c r="O28" s="69"/>
      <c r="P28" s="66"/>
      <c r="Q28" s="75"/>
      <c r="U28"/>
      <c r="V28"/>
      <c r="W28"/>
    </row>
    <row r="29" spans="1:23" ht="15" customHeight="1" x14ac:dyDescent="0.25">
      <c r="A29" s="56"/>
      <c r="B29" s="56"/>
      <c r="C29" s="56"/>
      <c r="D29" s="24" t="s">
        <v>92</v>
      </c>
      <c r="E29" s="25" t="str">
        <f>VLOOKUP(D29,'Course data'!$C$4:$H$65,2,FALSE)</f>
        <v>Database Management Systems</v>
      </c>
      <c r="F29" s="24">
        <v>35</v>
      </c>
      <c r="G29" s="24">
        <v>27</v>
      </c>
      <c r="H29" s="24">
        <f t="shared" si="3"/>
        <v>62</v>
      </c>
      <c r="I29" s="80"/>
      <c r="J29" s="27" t="str">
        <f t="shared" si="1"/>
        <v>B+</v>
      </c>
      <c r="K29" s="28">
        <f t="shared" si="2"/>
        <v>7</v>
      </c>
      <c r="L29" s="24">
        <v>3</v>
      </c>
      <c r="M29" s="75"/>
      <c r="N29" s="73"/>
      <c r="O29" s="69"/>
      <c r="P29" s="66"/>
      <c r="Q29" s="75"/>
      <c r="U29"/>
      <c r="V29"/>
      <c r="W29"/>
    </row>
    <row r="30" spans="1:23" ht="15" customHeight="1" x14ac:dyDescent="0.25">
      <c r="A30" s="56"/>
      <c r="B30" s="56"/>
      <c r="C30" s="56"/>
      <c r="D30" s="24" t="s">
        <v>94</v>
      </c>
      <c r="E30" s="25" t="str">
        <f>VLOOKUP(D30,'Course data'!$C$4:$H$65,2,FALSE)</f>
        <v>Environmental Science &amp; Engineering</v>
      </c>
      <c r="F30" s="24">
        <v>41</v>
      </c>
      <c r="G30" s="24">
        <v>43</v>
      </c>
      <c r="H30" s="24">
        <f t="shared" si="3"/>
        <v>84</v>
      </c>
      <c r="I30" s="80"/>
      <c r="J30" s="27" t="str">
        <f t="shared" si="1"/>
        <v>A+</v>
      </c>
      <c r="K30" s="28">
        <f t="shared" si="2"/>
        <v>9</v>
      </c>
      <c r="L30" s="24">
        <v>3</v>
      </c>
      <c r="M30" s="75"/>
      <c r="N30" s="73"/>
      <c r="O30" s="69"/>
      <c r="P30" s="66"/>
      <c r="Q30" s="75"/>
      <c r="U30"/>
      <c r="V30"/>
      <c r="W30"/>
    </row>
    <row r="31" spans="1:23" ht="15" customHeight="1" x14ac:dyDescent="0.25">
      <c r="A31" s="56"/>
      <c r="B31" s="56"/>
      <c r="C31" s="56"/>
      <c r="D31" s="24" t="s">
        <v>96</v>
      </c>
      <c r="E31" s="25" t="str">
        <f>VLOOKUP(D31,'Course data'!$C$4:$H$65,2,FALSE)</f>
        <v>Computer Architecture</v>
      </c>
      <c r="F31" s="24">
        <v>47</v>
      </c>
      <c r="G31" s="24">
        <v>35</v>
      </c>
      <c r="H31" s="24">
        <f t="shared" si="3"/>
        <v>82</v>
      </c>
      <c r="I31" s="80"/>
      <c r="J31" s="27" t="str">
        <f t="shared" si="1"/>
        <v>A+</v>
      </c>
      <c r="K31" s="28">
        <f t="shared" si="2"/>
        <v>9</v>
      </c>
      <c r="L31" s="24">
        <v>4</v>
      </c>
      <c r="M31" s="75"/>
      <c r="N31" s="73"/>
      <c r="O31" s="69"/>
      <c r="P31" s="66"/>
      <c r="Q31" s="75"/>
      <c r="U31"/>
      <c r="V31"/>
      <c r="W31"/>
    </row>
    <row r="32" spans="1:23" ht="30" x14ac:dyDescent="0.25">
      <c r="A32" s="56"/>
      <c r="B32" s="56"/>
      <c r="C32" s="56" t="s">
        <v>60</v>
      </c>
      <c r="D32" s="24" t="s">
        <v>98</v>
      </c>
      <c r="E32" s="25" t="str">
        <f>VLOOKUP(D32,'Course data'!$C$4:$H$65,2,FALSE)</f>
        <v>  Database Management Systems Laboratory</v>
      </c>
      <c r="F32" s="24">
        <v>43</v>
      </c>
      <c r="G32" s="24">
        <v>45</v>
      </c>
      <c r="H32" s="24">
        <f t="shared" si="3"/>
        <v>88</v>
      </c>
      <c r="I32" s="80"/>
      <c r="J32" s="27" t="str">
        <f t="shared" si="1"/>
        <v>A+</v>
      </c>
      <c r="K32" s="28">
        <f t="shared" si="2"/>
        <v>9</v>
      </c>
      <c r="L32" s="24">
        <v>2</v>
      </c>
      <c r="M32" s="75"/>
      <c r="N32" s="73"/>
      <c r="O32" s="69"/>
      <c r="P32" s="66"/>
      <c r="Q32" s="75"/>
      <c r="U32"/>
      <c r="V32"/>
      <c r="W32"/>
    </row>
    <row r="33" spans="1:23" ht="15" customHeight="1" x14ac:dyDescent="0.25">
      <c r="A33" s="56"/>
      <c r="B33" s="56"/>
      <c r="C33" s="56"/>
      <c r="D33" s="24" t="s">
        <v>100</v>
      </c>
      <c r="E33" s="25" t="str">
        <f>VLOOKUP(D33,'Course data'!$C$4:$H$65,2,FALSE)</f>
        <v>Data Structures Laboratory</v>
      </c>
      <c r="F33" s="24">
        <v>49</v>
      </c>
      <c r="G33" s="24">
        <v>47</v>
      </c>
      <c r="H33" s="24">
        <f t="shared" si="3"/>
        <v>96</v>
      </c>
      <c r="I33" s="81"/>
      <c r="J33" s="27" t="str">
        <f t="shared" si="1"/>
        <v>O</v>
      </c>
      <c r="K33" s="28">
        <f t="shared" si="2"/>
        <v>10</v>
      </c>
      <c r="L33" s="24">
        <v>2</v>
      </c>
      <c r="M33" s="76"/>
      <c r="N33" s="78"/>
      <c r="O33" s="70"/>
      <c r="P33" s="67"/>
      <c r="Q33" s="76"/>
      <c r="U33"/>
      <c r="V33"/>
      <c r="W33"/>
    </row>
    <row r="34" spans="1:23" ht="30" x14ac:dyDescent="0.25">
      <c r="A34" s="56"/>
      <c r="B34" s="56">
        <v>4</v>
      </c>
      <c r="C34" s="56" t="s">
        <v>47</v>
      </c>
      <c r="D34" s="24" t="s">
        <v>102</v>
      </c>
      <c r="E34" s="25" t="str">
        <f>VLOOKUP(D34,'Course data'!$C$4:$H$65,2,FALSE)</f>
        <v>Electrical Engineering and Control Systems</v>
      </c>
      <c r="F34" s="24">
        <v>50</v>
      </c>
      <c r="G34" s="24">
        <v>50</v>
      </c>
      <c r="H34" s="24">
        <f t="shared" si="3"/>
        <v>100</v>
      </c>
      <c r="I34" s="79">
        <f>AVERAGE(H34:H41)</f>
        <v>74.5</v>
      </c>
      <c r="J34" s="27" t="str">
        <f t="shared" si="1"/>
        <v>O</v>
      </c>
      <c r="K34" s="28">
        <f t="shared" si="2"/>
        <v>10</v>
      </c>
      <c r="L34" s="24">
        <v>3</v>
      </c>
      <c r="M34" s="74">
        <f>SUM(L34:L41)</f>
        <v>25</v>
      </c>
      <c r="N34" s="72">
        <f>IF(F34&lt;&gt;"",SUMPRODUCT(K34:K41,L34:L41)/M34,"")</f>
        <v>7.68</v>
      </c>
      <c r="O34" s="68">
        <f>SUM(M8:M41)</f>
        <v>100</v>
      </c>
      <c r="P34" s="65">
        <f>SUMPRODUCT(M8:M41,N8:N41)/O34</f>
        <v>6.9</v>
      </c>
      <c r="Q34" s="74"/>
      <c r="U34"/>
      <c r="V34"/>
      <c r="W34"/>
    </row>
    <row r="35" spans="1:23" ht="15" customHeight="1" x14ac:dyDescent="0.25">
      <c r="A35" s="56"/>
      <c r="B35" s="56"/>
      <c r="C35" s="56"/>
      <c r="D35" s="24" t="s">
        <v>104</v>
      </c>
      <c r="E35" s="25" t="str">
        <f>VLOOKUP(D35,'Course data'!$C$4:$H$65,2,FALSE)</f>
        <v>Design &amp; Analysis of Algorithms</v>
      </c>
      <c r="F35" s="24">
        <v>43</v>
      </c>
      <c r="G35" s="24">
        <v>45</v>
      </c>
      <c r="H35" s="24">
        <f t="shared" si="3"/>
        <v>88</v>
      </c>
      <c r="I35" s="80"/>
      <c r="J35" s="27" t="str">
        <f t="shared" si="1"/>
        <v>A+</v>
      </c>
      <c r="K35" s="28">
        <f t="shared" si="2"/>
        <v>9</v>
      </c>
      <c r="L35" s="24">
        <v>4</v>
      </c>
      <c r="M35" s="75"/>
      <c r="N35" s="73"/>
      <c r="O35" s="69"/>
      <c r="P35" s="66"/>
      <c r="Q35" s="75"/>
      <c r="U35"/>
      <c r="V35"/>
      <c r="W35"/>
    </row>
    <row r="36" spans="1:23" ht="15" customHeight="1" x14ac:dyDescent="0.25">
      <c r="A36" s="56"/>
      <c r="B36" s="56"/>
      <c r="C36" s="56"/>
      <c r="D36" s="24" t="s">
        <v>106</v>
      </c>
      <c r="E36" s="25" t="str">
        <f>VLOOKUP(D36,'Course data'!$C$4:$H$65,2,FALSE)</f>
        <v>Operating Systems</v>
      </c>
      <c r="F36" s="24">
        <v>39</v>
      </c>
      <c r="G36" s="24">
        <v>38</v>
      </c>
      <c r="H36" s="24">
        <f t="shared" si="3"/>
        <v>77</v>
      </c>
      <c r="I36" s="80"/>
      <c r="J36" s="27" t="str">
        <f t="shared" si="1"/>
        <v>A</v>
      </c>
      <c r="K36" s="28">
        <f t="shared" si="2"/>
        <v>8</v>
      </c>
      <c r="L36" s="24">
        <v>3</v>
      </c>
      <c r="M36" s="75"/>
      <c r="N36" s="73"/>
      <c r="O36" s="69"/>
      <c r="P36" s="66"/>
      <c r="Q36" s="75"/>
      <c r="U36"/>
      <c r="V36"/>
      <c r="W36"/>
    </row>
    <row r="37" spans="1:23" ht="15" customHeight="1" x14ac:dyDescent="0.25">
      <c r="A37" s="56"/>
      <c r="B37" s="56"/>
      <c r="C37" s="56"/>
      <c r="D37" s="24" t="s">
        <v>108</v>
      </c>
      <c r="E37" s="25" t="str">
        <f>VLOOKUP(D37,'Course data'!$C$4:$H$65,2,FALSE)</f>
        <v>Java &amp; Internet Programming</v>
      </c>
      <c r="F37" s="24">
        <v>38</v>
      </c>
      <c r="G37" s="24">
        <v>35</v>
      </c>
      <c r="H37" s="24">
        <f t="shared" si="3"/>
        <v>73</v>
      </c>
      <c r="I37" s="80"/>
      <c r="J37" s="27" t="str">
        <f t="shared" si="1"/>
        <v>A</v>
      </c>
      <c r="K37" s="28">
        <f t="shared" si="2"/>
        <v>8</v>
      </c>
      <c r="L37" s="24">
        <v>4</v>
      </c>
      <c r="M37" s="75"/>
      <c r="N37" s="73"/>
      <c r="O37" s="69"/>
      <c r="P37" s="66"/>
      <c r="Q37" s="75"/>
      <c r="U37"/>
      <c r="V37"/>
      <c r="W37"/>
    </row>
    <row r="38" spans="1:23" ht="15" customHeight="1" x14ac:dyDescent="0.25">
      <c r="A38" s="56"/>
      <c r="B38" s="56"/>
      <c r="C38" s="56"/>
      <c r="D38" s="24" t="s">
        <v>110</v>
      </c>
      <c r="E38" s="25" t="str">
        <f>VLOOKUP(D38,'Course data'!$C$4:$H$65,2,FALSE)</f>
        <v>  Probability &amp; Queueing Theory</v>
      </c>
      <c r="F38" s="24">
        <v>49</v>
      </c>
      <c r="G38" s="24">
        <v>37</v>
      </c>
      <c r="H38" s="24">
        <f t="shared" si="3"/>
        <v>86</v>
      </c>
      <c r="I38" s="80"/>
      <c r="J38" s="27" t="str">
        <f t="shared" si="1"/>
        <v>A+</v>
      </c>
      <c r="K38" s="28">
        <f t="shared" si="2"/>
        <v>9</v>
      </c>
      <c r="L38" s="24">
        <v>4</v>
      </c>
      <c r="M38" s="75"/>
      <c r="N38" s="73"/>
      <c r="O38" s="69"/>
      <c r="P38" s="66"/>
      <c r="Q38" s="75"/>
      <c r="U38"/>
      <c r="V38"/>
      <c r="W38"/>
    </row>
    <row r="39" spans="1:23" ht="15" customHeight="1" x14ac:dyDescent="0.25">
      <c r="A39" s="56"/>
      <c r="B39" s="56"/>
      <c r="C39" s="56"/>
      <c r="D39" s="24" t="s">
        <v>112</v>
      </c>
      <c r="E39" s="25" t="str">
        <f>VLOOKUP(D39,'Course data'!$C$4:$H$65,2,FALSE)</f>
        <v>Software Engineering</v>
      </c>
      <c r="F39" s="24">
        <v>30</v>
      </c>
      <c r="G39" s="24">
        <v>25</v>
      </c>
      <c r="H39" s="24">
        <f t="shared" si="3"/>
        <v>55</v>
      </c>
      <c r="I39" s="80"/>
      <c r="J39" s="27" t="str">
        <f t="shared" si="1"/>
        <v>B</v>
      </c>
      <c r="K39" s="28">
        <f t="shared" si="2"/>
        <v>6</v>
      </c>
      <c r="L39" s="24">
        <v>3</v>
      </c>
      <c r="M39" s="75"/>
      <c r="N39" s="73"/>
      <c r="O39" s="69"/>
      <c r="P39" s="66"/>
      <c r="Q39" s="75"/>
      <c r="U39"/>
      <c r="V39"/>
      <c r="W39"/>
    </row>
    <row r="40" spans="1:23" ht="15" customHeight="1" x14ac:dyDescent="0.25">
      <c r="A40" s="56"/>
      <c r="B40" s="56"/>
      <c r="C40" s="56" t="s">
        <v>60</v>
      </c>
      <c r="D40" s="24" t="s">
        <v>114</v>
      </c>
      <c r="E40" s="25" t="str">
        <f>VLOOKUP(D40,'Course data'!$C$4:$H$65,2,FALSE)</f>
        <v>Java &amp; Internet Programming Laboratory</v>
      </c>
      <c r="F40" s="24">
        <v>33</v>
      </c>
      <c r="G40" s="24">
        <v>40</v>
      </c>
      <c r="H40" s="24">
        <f t="shared" si="3"/>
        <v>73</v>
      </c>
      <c r="I40" s="80"/>
      <c r="J40" s="27" t="str">
        <f t="shared" si="1"/>
        <v>A</v>
      </c>
      <c r="K40" s="28">
        <f t="shared" si="2"/>
        <v>8</v>
      </c>
      <c r="L40" s="24">
        <v>2</v>
      </c>
      <c r="M40" s="75"/>
      <c r="N40" s="73"/>
      <c r="O40" s="69"/>
      <c r="P40" s="66"/>
      <c r="Q40" s="75"/>
      <c r="U40"/>
      <c r="V40"/>
      <c r="W40"/>
    </row>
    <row r="41" spans="1:23" ht="15" customHeight="1" x14ac:dyDescent="0.25">
      <c r="A41" s="56"/>
      <c r="B41" s="56"/>
      <c r="C41" s="56"/>
      <c r="D41" s="24" t="s">
        <v>116</v>
      </c>
      <c r="E41" s="25" t="str">
        <f>VLOOKUP(D41,'Course data'!$C$4:$H$65,2,FALSE)</f>
        <v>Operating Systems Laboratory</v>
      </c>
      <c r="F41" s="24">
        <v>19</v>
      </c>
      <c r="G41" s="24">
        <v>25</v>
      </c>
      <c r="H41" s="24">
        <f t="shared" si="3"/>
        <v>44</v>
      </c>
      <c r="I41" s="81"/>
      <c r="J41" s="27">
        <f t="shared" si="1"/>
        <v>0</v>
      </c>
      <c r="K41" s="28">
        <f t="shared" si="2"/>
        <v>0</v>
      </c>
      <c r="L41" s="24">
        <v>2</v>
      </c>
      <c r="M41" s="76"/>
      <c r="N41" s="78"/>
      <c r="O41" s="70"/>
      <c r="P41" s="67"/>
      <c r="Q41" s="76"/>
    </row>
    <row r="42" spans="1:23" ht="15" customHeight="1" x14ac:dyDescent="0.25">
      <c r="A42" s="56">
        <v>3</v>
      </c>
      <c r="B42" s="56">
        <v>5</v>
      </c>
      <c r="C42" s="56" t="s">
        <v>47</v>
      </c>
      <c r="D42" s="24" t="s">
        <v>118</v>
      </c>
      <c r="E42" s="25" t="str">
        <f>VLOOKUP(D42,'Course data'!$C$4:$H$65,2,FALSE)</f>
        <v>Object Oriented Analysis &amp; Design</v>
      </c>
      <c r="F42" s="24">
        <v>43</v>
      </c>
      <c r="G42" s="24">
        <v>45</v>
      </c>
      <c r="H42" s="24">
        <f t="shared" si="3"/>
        <v>88</v>
      </c>
      <c r="I42" s="79">
        <f>AVERAGE(H42:H50)</f>
        <v>77</v>
      </c>
      <c r="J42" s="27" t="str">
        <f t="shared" si="1"/>
        <v>A+</v>
      </c>
      <c r="K42" s="28">
        <f t="shared" si="2"/>
        <v>9</v>
      </c>
      <c r="L42" s="24">
        <v>3</v>
      </c>
      <c r="M42" s="74">
        <f>SUM(L42:L50)</f>
        <v>23</v>
      </c>
      <c r="N42" s="72">
        <f>IF(F42&lt;&gt;"",SUMPRODUCT(K42:K50,L42:L50)/M42,"")</f>
        <v>7.8695652173913047</v>
      </c>
      <c r="O42" s="68">
        <f>SUM(M8:M50)</f>
        <v>123</v>
      </c>
      <c r="P42" s="65">
        <f>SUMPRODUCT(M8:M50,N8:N50)/O42</f>
        <v>7.0813008130081299</v>
      </c>
      <c r="Q42" s="74"/>
    </row>
    <row r="43" spans="1:23" ht="15" customHeight="1" x14ac:dyDescent="0.25">
      <c r="A43" s="56"/>
      <c r="B43" s="56"/>
      <c r="C43" s="56"/>
      <c r="D43" s="24" t="s">
        <v>120</v>
      </c>
      <c r="E43" s="25" t="str">
        <f>VLOOKUP(D43,'Course data'!$C$4:$H$65,2,FALSE)</f>
        <v>Theory of Computation</v>
      </c>
      <c r="F43" s="24">
        <v>38</v>
      </c>
      <c r="G43" s="24">
        <v>42</v>
      </c>
      <c r="H43" s="24">
        <f t="shared" si="3"/>
        <v>80</v>
      </c>
      <c r="I43" s="80"/>
      <c r="J43" s="27" t="str">
        <f t="shared" si="1"/>
        <v>A</v>
      </c>
      <c r="K43" s="28">
        <f t="shared" si="2"/>
        <v>8</v>
      </c>
      <c r="L43" s="24">
        <v>3</v>
      </c>
      <c r="M43" s="75"/>
      <c r="N43" s="73"/>
      <c r="O43" s="69"/>
      <c r="P43" s="66"/>
      <c r="Q43" s="75"/>
    </row>
    <row r="44" spans="1:23" ht="15" customHeight="1" x14ac:dyDescent="0.25">
      <c r="A44" s="56"/>
      <c r="B44" s="56"/>
      <c r="C44" s="56"/>
      <c r="D44" s="24" t="s">
        <v>122</v>
      </c>
      <c r="E44" s="25" t="str">
        <f>VLOOKUP(D44,'Course data'!$C$4:$H$65,2,FALSE)</f>
        <v>System Software Internals</v>
      </c>
      <c r="F44" s="24">
        <v>30</v>
      </c>
      <c r="G44" s="24">
        <v>25</v>
      </c>
      <c r="H44" s="24">
        <f t="shared" si="3"/>
        <v>55</v>
      </c>
      <c r="I44" s="80"/>
      <c r="J44" s="27" t="str">
        <f t="shared" si="1"/>
        <v>B</v>
      </c>
      <c r="K44" s="28">
        <f t="shared" si="2"/>
        <v>6</v>
      </c>
      <c r="L44" s="24">
        <v>3</v>
      </c>
      <c r="M44" s="75"/>
      <c r="N44" s="73"/>
      <c r="O44" s="69"/>
      <c r="P44" s="66"/>
      <c r="Q44" s="75"/>
    </row>
    <row r="45" spans="1:23" ht="15" customHeight="1" x14ac:dyDescent="0.25">
      <c r="A45" s="56"/>
      <c r="B45" s="56"/>
      <c r="C45" s="56"/>
      <c r="D45" s="24" t="s">
        <v>124</v>
      </c>
      <c r="E45" s="25" t="str">
        <f>VLOOKUP(D45,'Course data'!$C$4:$H$65,2,FALSE)</f>
        <v>Microprocessors &amp; Micro Controllers</v>
      </c>
      <c r="F45" s="24">
        <v>42</v>
      </c>
      <c r="G45" s="24">
        <v>39</v>
      </c>
      <c r="H45" s="24">
        <f t="shared" si="3"/>
        <v>81</v>
      </c>
      <c r="I45" s="80"/>
      <c r="J45" s="27" t="str">
        <f t="shared" si="1"/>
        <v>A+</v>
      </c>
      <c r="K45" s="28">
        <f t="shared" si="2"/>
        <v>9</v>
      </c>
      <c r="L45" s="24">
        <v>3</v>
      </c>
      <c r="M45" s="75"/>
      <c r="N45" s="73"/>
      <c r="O45" s="69"/>
      <c r="P45" s="66"/>
      <c r="Q45" s="75"/>
    </row>
    <row r="46" spans="1:23" ht="30" x14ac:dyDescent="0.25">
      <c r="A46" s="56"/>
      <c r="B46" s="56"/>
      <c r="C46" s="56"/>
      <c r="D46" s="24" t="s">
        <v>126</v>
      </c>
      <c r="E46" s="25" t="str">
        <f>VLOOKUP(D46,'Course data'!$C$4:$H$65,2,FALSE)</f>
        <v>Data Communication &amp; Computer Networks</v>
      </c>
      <c r="F46" s="24">
        <v>35</v>
      </c>
      <c r="G46" s="24">
        <v>35</v>
      </c>
      <c r="H46" s="24">
        <f t="shared" si="3"/>
        <v>70</v>
      </c>
      <c r="I46" s="80"/>
      <c r="J46" s="27" t="str">
        <f t="shared" si="1"/>
        <v>B+</v>
      </c>
      <c r="K46" s="28">
        <f t="shared" si="2"/>
        <v>7</v>
      </c>
      <c r="L46" s="24">
        <v>4</v>
      </c>
      <c r="M46" s="75"/>
      <c r="N46" s="73"/>
      <c r="O46" s="69"/>
      <c r="P46" s="66"/>
      <c r="Q46" s="75"/>
    </row>
    <row r="47" spans="1:23" ht="15" customHeight="1" x14ac:dyDescent="0.25">
      <c r="A47" s="56"/>
      <c r="B47" s="56"/>
      <c r="C47" s="56" t="s">
        <v>60</v>
      </c>
      <c r="D47" s="24" t="s">
        <v>128</v>
      </c>
      <c r="E47" s="25" t="str">
        <f>VLOOKUP(D47,'Course data'!$C$4:$H$65,2,FALSE)</f>
        <v>Employability Skills</v>
      </c>
      <c r="F47" s="24">
        <v>43</v>
      </c>
      <c r="G47" s="24">
        <v>45</v>
      </c>
      <c r="H47" s="24">
        <f t="shared" si="3"/>
        <v>88</v>
      </c>
      <c r="I47" s="80"/>
      <c r="J47" s="27" t="str">
        <f t="shared" si="1"/>
        <v>A+</v>
      </c>
      <c r="K47" s="28">
        <f t="shared" si="2"/>
        <v>9</v>
      </c>
      <c r="L47" s="24">
        <v>1</v>
      </c>
      <c r="M47" s="75"/>
      <c r="N47" s="73"/>
      <c r="O47" s="69"/>
      <c r="P47" s="66"/>
      <c r="Q47" s="75"/>
    </row>
    <row r="48" spans="1:23" ht="15" customHeight="1" x14ac:dyDescent="0.25">
      <c r="A48" s="56"/>
      <c r="B48" s="56"/>
      <c r="C48" s="56"/>
      <c r="D48" s="24" t="s">
        <v>130</v>
      </c>
      <c r="E48" s="25" t="str">
        <f>VLOOKUP(D48,'Course data'!$C$4:$H$65,2,FALSE)</f>
        <v>Communications &amp; Networks Laboratory</v>
      </c>
      <c r="F48" s="24">
        <v>49</v>
      </c>
      <c r="G48" s="24">
        <v>39</v>
      </c>
      <c r="H48" s="24">
        <f t="shared" si="3"/>
        <v>88</v>
      </c>
      <c r="I48" s="80"/>
      <c r="J48" s="27" t="str">
        <f t="shared" si="1"/>
        <v>A+</v>
      </c>
      <c r="K48" s="28">
        <f t="shared" si="2"/>
        <v>9</v>
      </c>
      <c r="L48" s="24">
        <v>2</v>
      </c>
      <c r="M48" s="75"/>
      <c r="N48" s="73"/>
      <c r="O48" s="69"/>
      <c r="P48" s="66"/>
      <c r="Q48" s="75"/>
    </row>
    <row r="49" spans="1:17" ht="15" customHeight="1" x14ac:dyDescent="0.25">
      <c r="A49" s="56"/>
      <c r="B49" s="56"/>
      <c r="C49" s="56"/>
      <c r="D49" s="24" t="s">
        <v>132</v>
      </c>
      <c r="E49" s="25" t="str">
        <f>VLOOKUP(D49,'Course data'!$C$4:$H$65,2,FALSE)</f>
        <v>Case Tools Laboratory</v>
      </c>
      <c r="F49" s="24">
        <v>30</v>
      </c>
      <c r="G49" s="24">
        <v>25</v>
      </c>
      <c r="H49" s="24">
        <f t="shared" si="3"/>
        <v>55</v>
      </c>
      <c r="I49" s="80"/>
      <c r="J49" s="27" t="str">
        <f t="shared" si="1"/>
        <v>B</v>
      </c>
      <c r="K49" s="28">
        <f t="shared" si="2"/>
        <v>6</v>
      </c>
      <c r="L49" s="24">
        <v>2</v>
      </c>
      <c r="M49" s="75"/>
      <c r="N49" s="73"/>
      <c r="O49" s="69"/>
      <c r="P49" s="66"/>
      <c r="Q49" s="75"/>
    </row>
    <row r="50" spans="1:17" ht="15" customHeight="1" x14ac:dyDescent="0.25">
      <c r="A50" s="56"/>
      <c r="B50" s="56"/>
      <c r="C50" s="56"/>
      <c r="D50" s="24" t="s">
        <v>134</v>
      </c>
      <c r="E50" s="25" t="str">
        <f>VLOOKUP(D50,'Course data'!$C$4:$H$65,2,FALSE)</f>
        <v>Microprocessors Laboratory</v>
      </c>
      <c r="F50" s="24">
        <v>43</v>
      </c>
      <c r="G50" s="24">
        <v>45</v>
      </c>
      <c r="H50" s="24">
        <f t="shared" si="3"/>
        <v>88</v>
      </c>
      <c r="I50" s="81"/>
      <c r="J50" s="27" t="str">
        <f t="shared" si="1"/>
        <v>A+</v>
      </c>
      <c r="K50" s="28">
        <f t="shared" si="2"/>
        <v>9</v>
      </c>
      <c r="L50" s="24">
        <v>2</v>
      </c>
      <c r="M50" s="76"/>
      <c r="N50" s="78"/>
      <c r="O50" s="70"/>
      <c r="P50" s="67"/>
      <c r="Q50" s="76"/>
    </row>
    <row r="51" spans="1:17" ht="15" customHeight="1" x14ac:dyDescent="0.25">
      <c r="A51" s="56"/>
      <c r="B51" s="56">
        <v>6</v>
      </c>
      <c r="C51" s="56" t="s">
        <v>47</v>
      </c>
      <c r="D51" s="24" t="s">
        <v>136</v>
      </c>
      <c r="E51" s="25" t="str">
        <f>VLOOKUP(D51,'Course data'!$C$4:$H$65,2,FALSE)</f>
        <v>Artificial Intelligence</v>
      </c>
      <c r="F51" s="24">
        <v>19</v>
      </c>
      <c r="G51" s="24">
        <v>25</v>
      </c>
      <c r="H51" s="24">
        <f t="shared" si="3"/>
        <v>44</v>
      </c>
      <c r="I51" s="79">
        <f>AVERAGE(H51:H58)</f>
        <v>83</v>
      </c>
      <c r="J51" s="27">
        <f t="shared" si="1"/>
        <v>0</v>
      </c>
      <c r="K51" s="28">
        <f t="shared" si="2"/>
        <v>0</v>
      </c>
      <c r="L51" s="24">
        <v>3</v>
      </c>
      <c r="M51" s="74">
        <f>SUM(L51:L58)</f>
        <v>23</v>
      </c>
      <c r="N51" s="72">
        <f>IF(F51&lt;&gt;"",SUMPRODUCT(K51:K58,L51:L58)/M51,"")</f>
        <v>8.0434782608695645</v>
      </c>
      <c r="O51" s="68">
        <f>SUM(M8:M58)</f>
        <v>146</v>
      </c>
      <c r="P51" s="65">
        <f>SUMPRODUCT(M8:M58,N8:N58)/O51</f>
        <v>7.2328767123287667</v>
      </c>
      <c r="Q51" s="74"/>
    </row>
    <row r="52" spans="1:17" ht="30" x14ac:dyDescent="0.25">
      <c r="A52" s="56"/>
      <c r="B52" s="56"/>
      <c r="C52" s="56"/>
      <c r="D52" s="24" t="s">
        <v>138</v>
      </c>
      <c r="E52" s="25" t="str">
        <f>VLOOKUP(D52,'Course data'!$C$4:$H$65,2,FALSE)</f>
        <v>Digital Signal Processing - Algorithms &amp; Applications</v>
      </c>
      <c r="F52" s="24">
        <v>43</v>
      </c>
      <c r="G52" s="24">
        <v>45</v>
      </c>
      <c r="H52" s="24">
        <f t="shared" si="3"/>
        <v>88</v>
      </c>
      <c r="I52" s="80"/>
      <c r="J52" s="27" t="str">
        <f t="shared" si="1"/>
        <v>A+</v>
      </c>
      <c r="K52" s="28">
        <f t="shared" si="2"/>
        <v>9</v>
      </c>
      <c r="L52" s="24">
        <v>3</v>
      </c>
      <c r="M52" s="75"/>
      <c r="N52" s="73"/>
      <c r="O52" s="69"/>
      <c r="P52" s="66"/>
      <c r="Q52" s="75"/>
    </row>
    <row r="53" spans="1:17" ht="15" customHeight="1" x14ac:dyDescent="0.25">
      <c r="A53" s="56"/>
      <c r="B53" s="56"/>
      <c r="C53" s="56"/>
      <c r="D53" s="24" t="s">
        <v>140</v>
      </c>
      <c r="E53" s="25" t="str">
        <f>VLOOKUP(D53,'Course data'!$C$4:$H$65,2,FALSE)</f>
        <v>Computer Graphics &amp; Multimedia</v>
      </c>
      <c r="F53" s="24">
        <v>49</v>
      </c>
      <c r="G53" s="24">
        <v>47</v>
      </c>
      <c r="H53" s="24">
        <f t="shared" si="3"/>
        <v>96</v>
      </c>
      <c r="I53" s="80"/>
      <c r="J53" s="27" t="str">
        <f t="shared" si="1"/>
        <v>O</v>
      </c>
      <c r="K53" s="28">
        <f t="shared" si="2"/>
        <v>10</v>
      </c>
      <c r="L53" s="24">
        <v>3</v>
      </c>
      <c r="M53" s="75"/>
      <c r="N53" s="73"/>
      <c r="O53" s="69"/>
      <c r="P53" s="66"/>
      <c r="Q53" s="75"/>
    </row>
    <row r="54" spans="1:17" ht="15" customHeight="1" x14ac:dyDescent="0.25">
      <c r="A54" s="56"/>
      <c r="B54" s="56"/>
      <c r="C54" s="56"/>
      <c r="D54" s="24" t="s">
        <v>142</v>
      </c>
      <c r="E54" s="25" t="str">
        <f>VLOOKUP(D54,'Course data'!$C$4:$H$65,2,FALSE)</f>
        <v>Compiler Design</v>
      </c>
      <c r="F54" s="24">
        <v>39</v>
      </c>
      <c r="G54" s="24">
        <v>42</v>
      </c>
      <c r="H54" s="24">
        <f t="shared" si="3"/>
        <v>81</v>
      </c>
      <c r="I54" s="80"/>
      <c r="J54" s="27" t="str">
        <f t="shared" si="1"/>
        <v>A+</v>
      </c>
      <c r="K54" s="28">
        <f t="shared" si="2"/>
        <v>9</v>
      </c>
      <c r="L54" s="24">
        <v>4</v>
      </c>
      <c r="M54" s="75"/>
      <c r="N54" s="73"/>
      <c r="O54" s="69"/>
      <c r="P54" s="66"/>
      <c r="Q54" s="75"/>
    </row>
    <row r="55" spans="1:17" ht="15" customHeight="1" x14ac:dyDescent="0.25">
      <c r="A55" s="56"/>
      <c r="B55" s="56"/>
      <c r="C55" s="56"/>
      <c r="D55" s="24" t="s">
        <v>144</v>
      </c>
      <c r="E55" s="25" t="str">
        <f>VLOOKUP(D55,'Course data'!$C$4:$H$65,2,FALSE)</f>
        <v>Programming Paradigms</v>
      </c>
      <c r="F55" s="24">
        <v>43</v>
      </c>
      <c r="G55" s="24">
        <v>45</v>
      </c>
      <c r="H55" s="24">
        <f t="shared" si="3"/>
        <v>88</v>
      </c>
      <c r="I55" s="80"/>
      <c r="J55" s="27" t="str">
        <f t="shared" si="1"/>
        <v>A+</v>
      </c>
      <c r="K55" s="28">
        <f t="shared" si="2"/>
        <v>9</v>
      </c>
      <c r="L55" s="24">
        <v>3</v>
      </c>
      <c r="M55" s="75"/>
      <c r="N55" s="73"/>
      <c r="O55" s="69"/>
      <c r="P55" s="66"/>
      <c r="Q55" s="75"/>
    </row>
    <row r="56" spans="1:17" ht="15" customHeight="1" x14ac:dyDescent="0.25">
      <c r="A56" s="56"/>
      <c r="B56" s="56"/>
      <c r="C56" s="56"/>
      <c r="D56" s="24" t="s">
        <v>146</v>
      </c>
      <c r="E56" s="25" t="str">
        <f>VLOOKUP(D56,'Course data'!$C$4:$H$65,2,FALSE)</f>
        <v>Elective I</v>
      </c>
      <c r="F56" s="24">
        <v>38</v>
      </c>
      <c r="G56" s="24">
        <v>45</v>
      </c>
      <c r="H56" s="24">
        <f t="shared" si="3"/>
        <v>83</v>
      </c>
      <c r="I56" s="80"/>
      <c r="J56" s="27" t="str">
        <f t="shared" si="1"/>
        <v>A+</v>
      </c>
      <c r="K56" s="28">
        <f t="shared" si="2"/>
        <v>9</v>
      </c>
      <c r="L56" s="24">
        <v>3</v>
      </c>
      <c r="M56" s="75"/>
      <c r="N56" s="73"/>
      <c r="O56" s="69"/>
      <c r="P56" s="66"/>
      <c r="Q56" s="75"/>
    </row>
    <row r="57" spans="1:17" ht="15" customHeight="1" x14ac:dyDescent="0.25">
      <c r="A57" s="56"/>
      <c r="B57" s="56"/>
      <c r="C57" s="56" t="s">
        <v>60</v>
      </c>
      <c r="D57" s="24" t="s">
        <v>148</v>
      </c>
      <c r="E57" s="25" t="str">
        <f>VLOOKUP(D57,'Course data'!$C$4:$H$65,2,FALSE)</f>
        <v>Creativity &amp; Innovative Project</v>
      </c>
      <c r="F57" s="24">
        <v>43</v>
      </c>
      <c r="G57" s="24">
        <v>45</v>
      </c>
      <c r="H57" s="24">
        <f t="shared" si="3"/>
        <v>88</v>
      </c>
      <c r="I57" s="80"/>
      <c r="J57" s="27" t="str">
        <f t="shared" si="1"/>
        <v>A+</v>
      </c>
      <c r="K57" s="28">
        <f t="shared" si="2"/>
        <v>9</v>
      </c>
      <c r="L57" s="24">
        <v>2</v>
      </c>
      <c r="M57" s="75"/>
      <c r="N57" s="73"/>
      <c r="O57" s="69"/>
      <c r="P57" s="66"/>
      <c r="Q57" s="75"/>
    </row>
    <row r="58" spans="1:17" ht="30" x14ac:dyDescent="0.25">
      <c r="A58" s="56"/>
      <c r="B58" s="56"/>
      <c r="C58" s="56"/>
      <c r="D58" s="24" t="s">
        <v>150</v>
      </c>
      <c r="E58" s="25" t="str">
        <f>VLOOKUP(D58,'Course data'!$C$4:$H$65,2,FALSE)</f>
        <v>Computer Graphics &amp; Multimedia Laboratory</v>
      </c>
      <c r="F58" s="24">
        <v>49</v>
      </c>
      <c r="G58" s="24">
        <v>47</v>
      </c>
      <c r="H58" s="24">
        <f t="shared" si="3"/>
        <v>96</v>
      </c>
      <c r="I58" s="81"/>
      <c r="J58" s="27" t="str">
        <f t="shared" si="1"/>
        <v>O</v>
      </c>
      <c r="K58" s="28">
        <f t="shared" si="2"/>
        <v>10</v>
      </c>
      <c r="L58" s="24">
        <v>2</v>
      </c>
      <c r="M58" s="76"/>
      <c r="N58" s="78"/>
      <c r="O58" s="70"/>
      <c r="P58" s="67"/>
      <c r="Q58" s="76"/>
    </row>
    <row r="59" spans="1:17" ht="12.75" customHeight="1" x14ac:dyDescent="0.25">
      <c r="A59" s="56">
        <v>4</v>
      </c>
      <c r="B59" s="56">
        <v>7</v>
      </c>
      <c r="C59" s="56" t="s">
        <v>47</v>
      </c>
      <c r="D59" s="24" t="s">
        <v>152</v>
      </c>
      <c r="E59" s="25" t="str">
        <f>VLOOKUP(D59,'Course data'!$C$4:$H$65,2,FALSE)</f>
        <v>Mobile &amp; Pervasive Computing</v>
      </c>
      <c r="F59" s="24">
        <v>30</v>
      </c>
      <c r="G59" s="24">
        <v>45</v>
      </c>
      <c r="H59" s="24">
        <f t="shared" si="3"/>
        <v>75</v>
      </c>
      <c r="I59" s="79">
        <f>AVERAGE(H59:H69)</f>
        <v>82.272727272727266</v>
      </c>
      <c r="J59" s="27" t="str">
        <f t="shared" si="1"/>
        <v>A</v>
      </c>
      <c r="K59" s="28">
        <f t="shared" si="2"/>
        <v>8</v>
      </c>
      <c r="L59" s="24">
        <v>3</v>
      </c>
      <c r="M59" s="56">
        <f>SUM(L59:L66)</f>
        <v>22</v>
      </c>
      <c r="N59" s="72">
        <f>IF(F59&lt;&gt;"",SUMPRODUCT(K59:K66,L59:L66)/M59,"")</f>
        <v>8.454545454545455</v>
      </c>
      <c r="O59" s="68">
        <f>SUM(M8:M66)</f>
        <v>168</v>
      </c>
      <c r="P59" s="65">
        <f>SUMPRODUCT(M8:M66,N8:N66)/O59</f>
        <v>7.3928571428571432</v>
      </c>
      <c r="Q59" s="68"/>
    </row>
    <row r="60" spans="1:17" ht="12.75" customHeight="1" x14ac:dyDescent="0.25">
      <c r="A60" s="56"/>
      <c r="B60" s="56"/>
      <c r="C60" s="56"/>
      <c r="D60" s="24" t="s">
        <v>154</v>
      </c>
      <c r="E60" s="25" t="str">
        <f>VLOOKUP(D60,'Course data'!$C$4:$H$65,2,FALSE)</f>
        <v>Security in Computing</v>
      </c>
      <c r="F60" s="24">
        <v>43</v>
      </c>
      <c r="G60" s="24">
        <v>45</v>
      </c>
      <c r="H60" s="24">
        <f t="shared" si="3"/>
        <v>88</v>
      </c>
      <c r="I60" s="80"/>
      <c r="J60" s="27" t="str">
        <f t="shared" si="1"/>
        <v>A+</v>
      </c>
      <c r="K60" s="28">
        <f t="shared" si="2"/>
        <v>9</v>
      </c>
      <c r="L60" s="24">
        <v>3</v>
      </c>
      <c r="M60" s="56"/>
      <c r="N60" s="73"/>
      <c r="O60" s="69"/>
      <c r="P60" s="66"/>
      <c r="Q60" s="69"/>
    </row>
    <row r="61" spans="1:17" ht="12.75" customHeight="1" x14ac:dyDescent="0.25">
      <c r="A61" s="56"/>
      <c r="B61" s="56"/>
      <c r="C61" s="56"/>
      <c r="D61" s="24" t="s">
        <v>156</v>
      </c>
      <c r="E61" s="25" t="str">
        <f>VLOOKUP(D61,'Course data'!$C$4:$H$65,2,FALSE)</f>
        <v>Principles of Management</v>
      </c>
      <c r="F61" s="24">
        <v>39</v>
      </c>
      <c r="G61" s="24">
        <v>39</v>
      </c>
      <c r="H61" s="24">
        <f t="shared" si="3"/>
        <v>78</v>
      </c>
      <c r="I61" s="80"/>
      <c r="J61" s="27" t="str">
        <f t="shared" si="1"/>
        <v>A</v>
      </c>
      <c r="K61" s="28">
        <f t="shared" si="2"/>
        <v>8</v>
      </c>
      <c r="L61" s="24">
        <v>3</v>
      </c>
      <c r="M61" s="56"/>
      <c r="N61" s="73"/>
      <c r="O61" s="69"/>
      <c r="P61" s="66"/>
      <c r="Q61" s="69"/>
    </row>
    <row r="62" spans="1:17" ht="12.75" customHeight="1" x14ac:dyDescent="0.25">
      <c r="A62" s="56"/>
      <c r="B62" s="56"/>
      <c r="C62" s="56"/>
      <c r="D62" s="24" t="s">
        <v>158</v>
      </c>
      <c r="E62" s="25" t="str">
        <f>VLOOKUP(D62,'Course data'!$C$4:$H$65,2,FALSE)</f>
        <v>Parallel Programming</v>
      </c>
      <c r="F62" s="24">
        <v>43</v>
      </c>
      <c r="G62" s="24">
        <v>45</v>
      </c>
      <c r="H62" s="24">
        <f t="shared" si="3"/>
        <v>88</v>
      </c>
      <c r="I62" s="80"/>
      <c r="J62" s="27" t="str">
        <f t="shared" si="1"/>
        <v>A+</v>
      </c>
      <c r="K62" s="28">
        <f t="shared" si="2"/>
        <v>9</v>
      </c>
      <c r="L62" s="24">
        <v>3</v>
      </c>
      <c r="M62" s="56"/>
      <c r="N62" s="73"/>
      <c r="O62" s="69"/>
      <c r="P62" s="66"/>
      <c r="Q62" s="69"/>
    </row>
    <row r="63" spans="1:17" ht="12.75" customHeight="1" x14ac:dyDescent="0.25">
      <c r="A63" s="56"/>
      <c r="B63" s="56"/>
      <c r="C63" s="56"/>
      <c r="D63" s="24" t="s">
        <v>146</v>
      </c>
      <c r="E63" s="25" t="str">
        <f>VLOOKUP(D63,'Course data'!$C$4:$H$65,2,FALSE)</f>
        <v>Elective I</v>
      </c>
      <c r="F63" s="24">
        <v>49</v>
      </c>
      <c r="G63" s="24">
        <v>47</v>
      </c>
      <c r="H63" s="24">
        <f t="shared" si="3"/>
        <v>96</v>
      </c>
      <c r="I63" s="80"/>
      <c r="J63" s="27" t="str">
        <f t="shared" si="1"/>
        <v>O</v>
      </c>
      <c r="K63" s="28">
        <f t="shared" si="2"/>
        <v>10</v>
      </c>
      <c r="L63" s="24">
        <v>3</v>
      </c>
      <c r="M63" s="56"/>
      <c r="N63" s="73"/>
      <c r="O63" s="69"/>
      <c r="P63" s="66"/>
      <c r="Q63" s="69"/>
    </row>
    <row r="64" spans="1:17" ht="12.75" customHeight="1" x14ac:dyDescent="0.25">
      <c r="A64" s="56"/>
      <c r="B64" s="56"/>
      <c r="C64" s="56"/>
      <c r="D64" s="24" t="s">
        <v>146</v>
      </c>
      <c r="E64" s="25" t="str">
        <f>VLOOKUP(D64,'Course data'!$C$4:$H$65,2,FALSE)</f>
        <v>Elective I</v>
      </c>
      <c r="F64" s="24">
        <v>30</v>
      </c>
      <c r="G64" s="24">
        <v>25</v>
      </c>
      <c r="H64" s="24">
        <f t="shared" si="3"/>
        <v>55</v>
      </c>
      <c r="I64" s="80"/>
      <c r="J64" s="27" t="str">
        <f t="shared" si="1"/>
        <v>B</v>
      </c>
      <c r="K64" s="28">
        <f t="shared" si="2"/>
        <v>6</v>
      </c>
      <c r="L64" s="24">
        <v>3</v>
      </c>
      <c r="M64" s="56"/>
      <c r="N64" s="73"/>
      <c r="O64" s="69"/>
      <c r="P64" s="66"/>
      <c r="Q64" s="69"/>
    </row>
    <row r="65" spans="1:17" ht="12.75" customHeight="1" x14ac:dyDescent="0.25">
      <c r="A65" s="56"/>
      <c r="B65" s="56"/>
      <c r="C65" s="56" t="s">
        <v>60</v>
      </c>
      <c r="D65" s="24" t="s">
        <v>162</v>
      </c>
      <c r="E65" s="25" t="str">
        <f>VLOOKUP(D65,'Course data'!$C$4:$H$65,2,FALSE)</f>
        <v>Software Development Laboratory</v>
      </c>
      <c r="F65" s="24">
        <v>43</v>
      </c>
      <c r="G65" s="24">
        <v>45</v>
      </c>
      <c r="H65" s="24">
        <f t="shared" si="3"/>
        <v>88</v>
      </c>
      <c r="I65" s="80"/>
      <c r="J65" s="27" t="str">
        <f t="shared" si="1"/>
        <v>A+</v>
      </c>
      <c r="K65" s="28">
        <f t="shared" si="2"/>
        <v>9</v>
      </c>
      <c r="L65" s="24">
        <v>2</v>
      </c>
      <c r="M65" s="56"/>
      <c r="N65" s="73"/>
      <c r="O65" s="69"/>
      <c r="P65" s="66"/>
      <c r="Q65" s="69"/>
    </row>
    <row r="66" spans="1:17" ht="30" x14ac:dyDescent="0.25">
      <c r="A66" s="56"/>
      <c r="B66" s="56"/>
      <c r="C66" s="56"/>
      <c r="D66" s="24" t="s">
        <v>164</v>
      </c>
      <c r="E66" s="25" t="str">
        <f>VLOOKUP(D66,'Course data'!$C$4:$H$65,2,FALSE)</f>
        <v>Mobile Application Development Laboratory</v>
      </c>
      <c r="F66" s="24">
        <v>43</v>
      </c>
      <c r="G66" s="24">
        <v>45</v>
      </c>
      <c r="H66" s="24">
        <f t="shared" ref="H66:H68" si="4">F66+G66</f>
        <v>88</v>
      </c>
      <c r="I66" s="80"/>
      <c r="J66" s="27" t="str">
        <f t="shared" si="1"/>
        <v>A+</v>
      </c>
      <c r="K66" s="28">
        <f t="shared" si="2"/>
        <v>9</v>
      </c>
      <c r="L66" s="24">
        <v>2</v>
      </c>
      <c r="M66" s="56"/>
      <c r="N66" s="73"/>
      <c r="O66" s="69"/>
      <c r="P66" s="66"/>
      <c r="Q66" s="69"/>
    </row>
    <row r="67" spans="1:17" ht="12.75" customHeight="1" x14ac:dyDescent="0.25">
      <c r="A67" s="56"/>
      <c r="B67" s="56">
        <v>8</v>
      </c>
      <c r="C67" s="56" t="s">
        <v>47</v>
      </c>
      <c r="D67" s="24" t="s">
        <v>146</v>
      </c>
      <c r="E67" s="25" t="str">
        <f>VLOOKUP(D67,'Course data'!$C$4:$H$65,2,FALSE)</f>
        <v>Elective I</v>
      </c>
      <c r="F67" s="24">
        <v>49</v>
      </c>
      <c r="G67" s="24">
        <v>47</v>
      </c>
      <c r="H67" s="24">
        <f t="shared" si="4"/>
        <v>96</v>
      </c>
      <c r="I67" s="80"/>
      <c r="J67" s="27" t="str">
        <f t="shared" si="1"/>
        <v>O</v>
      </c>
      <c r="K67" s="28">
        <f t="shared" si="2"/>
        <v>10</v>
      </c>
      <c r="L67" s="24">
        <v>3</v>
      </c>
      <c r="M67" s="74">
        <f>SUM(L67:L69)</f>
        <v>12</v>
      </c>
      <c r="N67" s="77">
        <f>IF(F67&lt;&gt;"",SUMPRODUCT(K67:K69,L67:L69)/M67,"")</f>
        <v>9</v>
      </c>
      <c r="O67" s="53">
        <f>SUM(M8:M69)</f>
        <v>180</v>
      </c>
      <c r="P67" s="64">
        <f>SUMPRODUCT(M8:M69,N8:N69)/O67</f>
        <v>7.5</v>
      </c>
      <c r="Q67" s="53"/>
    </row>
    <row r="68" spans="1:17" ht="12.75" customHeight="1" x14ac:dyDescent="0.25">
      <c r="A68" s="56"/>
      <c r="B68" s="56"/>
      <c r="C68" s="56"/>
      <c r="D68" s="24" t="s">
        <v>146</v>
      </c>
      <c r="E68" s="25" t="str">
        <f>VLOOKUP(D68,'Course data'!$C$4:$H$65,2,FALSE)</f>
        <v>Elective I</v>
      </c>
      <c r="F68" s="24">
        <v>30</v>
      </c>
      <c r="G68" s="24">
        <v>25</v>
      </c>
      <c r="H68" s="24">
        <f t="shared" si="4"/>
        <v>55</v>
      </c>
      <c r="I68" s="80"/>
      <c r="J68" s="27" t="str">
        <f t="shared" si="1"/>
        <v>B</v>
      </c>
      <c r="K68" s="28">
        <f t="shared" si="2"/>
        <v>6</v>
      </c>
      <c r="L68" s="24">
        <v>3</v>
      </c>
      <c r="M68" s="75"/>
      <c r="N68" s="77"/>
      <c r="O68" s="53"/>
      <c r="P68" s="64"/>
      <c r="Q68" s="53"/>
    </row>
    <row r="69" spans="1:17" ht="12.75" customHeight="1" x14ac:dyDescent="0.25">
      <c r="A69" s="56"/>
      <c r="B69" s="56"/>
      <c r="C69" s="24" t="s">
        <v>60</v>
      </c>
      <c r="D69" s="24" t="s">
        <v>168</v>
      </c>
      <c r="E69" s="25" t="str">
        <f>VLOOKUP(D69,'Course data'!$C$4:$H$65,2,FALSE)</f>
        <v>Project Work</v>
      </c>
      <c r="F69" s="24">
        <v>50</v>
      </c>
      <c r="G69" s="24">
        <v>48</v>
      </c>
      <c r="H69" s="24">
        <f t="shared" ref="H69" si="5">F69+G69</f>
        <v>98</v>
      </c>
      <c r="I69" s="81"/>
      <c r="J69" s="27" t="str">
        <f t="shared" si="1"/>
        <v>O</v>
      </c>
      <c r="K69" s="28">
        <f t="shared" si="2"/>
        <v>10</v>
      </c>
      <c r="L69" s="24">
        <v>6</v>
      </c>
      <c r="M69" s="76"/>
      <c r="N69" s="77"/>
      <c r="O69" s="53"/>
      <c r="P69" s="64"/>
      <c r="Q69" s="53"/>
    </row>
    <row r="70" spans="1:17" ht="21.75" customHeight="1" x14ac:dyDescent="0.25">
      <c r="A70" s="62" t="s">
        <v>186</v>
      </c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</row>
    <row r="71" spans="1:17" ht="19.5" x14ac:dyDescent="0.25">
      <c r="A71" s="37" t="s">
        <v>185</v>
      </c>
      <c r="B71" s="60" t="s">
        <v>187</v>
      </c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1"/>
    </row>
    <row r="72" spans="1:17" x14ac:dyDescent="0.25">
      <c r="A72" s="38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40"/>
    </row>
    <row r="73" spans="1:17" ht="23.25" customHeight="1" x14ac:dyDescent="0.25">
      <c r="A73" s="38"/>
      <c r="B73" s="63" t="s">
        <v>203</v>
      </c>
      <c r="C73" s="63"/>
      <c r="D73" s="63"/>
      <c r="E73" s="63"/>
      <c r="F73" s="71">
        <f>COUNT(N8:N69)</f>
        <v>8</v>
      </c>
      <c r="G73" s="71"/>
      <c r="H73" s="71"/>
      <c r="I73" s="39"/>
      <c r="J73" s="39"/>
      <c r="K73" s="39"/>
      <c r="L73" s="39"/>
      <c r="M73" s="39"/>
      <c r="N73" s="39"/>
      <c r="O73" s="39"/>
      <c r="P73" s="39"/>
      <c r="Q73" s="40"/>
    </row>
    <row r="74" spans="1:17" ht="25.5" customHeight="1" x14ac:dyDescent="0.25">
      <c r="A74" s="38"/>
      <c r="B74" s="50" t="str">
        <f>CONCATENATE("Current GPA at the End of Semester ",F73,"  is =  ")</f>
        <v xml:space="preserve">Current GPA at the End of Semester 8  is =  </v>
      </c>
      <c r="C74" s="51"/>
      <c r="D74" s="51"/>
      <c r="E74" s="52"/>
      <c r="F74" s="53">
        <f>VLOOKUP(F73,B6:P69,13,FALSE)</f>
        <v>9</v>
      </c>
      <c r="G74" s="53"/>
      <c r="H74" s="53"/>
      <c r="I74" s="41"/>
      <c r="J74" s="41"/>
      <c r="K74" s="41"/>
      <c r="L74" s="41"/>
      <c r="M74" s="41"/>
      <c r="N74" s="41"/>
      <c r="O74" s="41"/>
      <c r="P74" s="41"/>
      <c r="Q74" s="49"/>
    </row>
    <row r="75" spans="1:17" ht="25.5" customHeight="1" x14ac:dyDescent="0.25">
      <c r="A75" s="38"/>
      <c r="B75" s="50" t="str">
        <f>CONCATENATE("Current GPA at the End of Semester ",F73,"  is =  ")</f>
        <v xml:space="preserve">Current GPA at the End of Semester 8  is =  </v>
      </c>
      <c r="C75" s="51"/>
      <c r="D75" s="51"/>
      <c r="E75" s="52"/>
      <c r="F75" s="53">
        <f>VLOOKUP(F73,B7:P69,15,FALSE)</f>
        <v>7.5</v>
      </c>
      <c r="G75" s="53"/>
      <c r="H75" s="53"/>
      <c r="I75" s="41"/>
      <c r="J75" s="41"/>
      <c r="K75" s="41"/>
      <c r="L75" s="41"/>
      <c r="M75" s="41"/>
      <c r="N75" s="41"/>
      <c r="O75" s="41"/>
      <c r="P75" s="41"/>
      <c r="Q75" s="49"/>
    </row>
    <row r="76" spans="1:17" ht="25.5" customHeight="1" x14ac:dyDescent="0.25">
      <c r="A76" s="38"/>
      <c r="B76" s="47"/>
      <c r="C76" s="47"/>
      <c r="D76" s="47"/>
      <c r="E76" s="41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40"/>
    </row>
    <row r="77" spans="1:17" ht="25.5" customHeight="1" x14ac:dyDescent="0.25">
      <c r="A77" s="38"/>
      <c r="B77" s="24" t="s">
        <v>1</v>
      </c>
      <c r="C77" s="56" t="s">
        <v>3</v>
      </c>
      <c r="D77" s="56"/>
      <c r="E77" s="48" t="s">
        <v>194</v>
      </c>
      <c r="F77" s="56" t="s">
        <v>193</v>
      </c>
      <c r="G77" s="56"/>
      <c r="H77" s="56"/>
      <c r="I77" s="56" t="s">
        <v>191</v>
      </c>
      <c r="J77" s="56"/>
      <c r="K77" s="56"/>
      <c r="L77" s="56"/>
      <c r="M77" s="56" t="s">
        <v>192</v>
      </c>
      <c r="N77" s="56"/>
      <c r="O77" s="56"/>
      <c r="P77" s="39"/>
      <c r="Q77" s="40"/>
    </row>
    <row r="78" spans="1:17" ht="27" customHeight="1" x14ac:dyDescent="0.25">
      <c r="A78" s="38"/>
      <c r="B78" s="24">
        <v>1</v>
      </c>
      <c r="C78" s="56" t="s">
        <v>195</v>
      </c>
      <c r="D78" s="56"/>
      <c r="E78" s="26">
        <f>AVERAGE(K8:K17)</f>
        <v>5.6</v>
      </c>
      <c r="F78" s="56">
        <f>M8</f>
        <v>27</v>
      </c>
      <c r="G78" s="56"/>
      <c r="H78" s="56"/>
      <c r="I78" s="82">
        <f>N8</f>
        <v>6.0370370370370372</v>
      </c>
      <c r="J78" s="56"/>
      <c r="K78" s="56"/>
      <c r="L78" s="56"/>
      <c r="M78" s="82">
        <f>P8</f>
        <v>6.0370370370370372</v>
      </c>
      <c r="N78" s="56"/>
      <c r="O78" s="56"/>
      <c r="P78" s="39"/>
      <c r="Q78" s="40"/>
    </row>
    <row r="79" spans="1:17" ht="27" customHeight="1" x14ac:dyDescent="0.25">
      <c r="A79" s="38"/>
      <c r="B79" s="24">
        <v>2</v>
      </c>
      <c r="C79" s="56" t="s">
        <v>196</v>
      </c>
      <c r="D79" s="56"/>
      <c r="E79" s="26">
        <f>AVERAGE(K18:K25)</f>
        <v>6.75</v>
      </c>
      <c r="F79" s="56">
        <f>M18</f>
        <v>24</v>
      </c>
      <c r="G79" s="56"/>
      <c r="H79" s="56"/>
      <c r="I79" s="82">
        <f>N18</f>
        <v>6.5</v>
      </c>
      <c r="J79" s="56"/>
      <c r="K79" s="56"/>
      <c r="L79" s="56"/>
      <c r="M79" s="82">
        <f>P18</f>
        <v>6.2549019607843137</v>
      </c>
      <c r="N79" s="56"/>
      <c r="O79" s="56"/>
      <c r="P79" s="39"/>
      <c r="Q79" s="40"/>
    </row>
    <row r="80" spans="1:17" ht="27" customHeight="1" x14ac:dyDescent="0.25">
      <c r="A80" s="38"/>
      <c r="B80" s="24">
        <v>3</v>
      </c>
      <c r="C80" s="56" t="s">
        <v>197</v>
      </c>
      <c r="D80" s="56"/>
      <c r="E80" s="26">
        <f>AVERAGE(K26:K33)</f>
        <v>7.875</v>
      </c>
      <c r="F80" s="56">
        <f>M26</f>
        <v>24</v>
      </c>
      <c r="G80" s="56"/>
      <c r="H80" s="56"/>
      <c r="I80" s="82">
        <f>N26</f>
        <v>7.458333333333333</v>
      </c>
      <c r="J80" s="56"/>
      <c r="K80" s="56"/>
      <c r="L80" s="56"/>
      <c r="M80" s="82">
        <f>P26</f>
        <v>6.64</v>
      </c>
      <c r="N80" s="56"/>
      <c r="O80" s="56"/>
      <c r="P80" s="39"/>
      <c r="Q80" s="40"/>
    </row>
    <row r="81" spans="1:17" ht="27" customHeight="1" x14ac:dyDescent="0.25">
      <c r="A81" s="38"/>
      <c r="B81" s="24">
        <v>4</v>
      </c>
      <c r="C81" s="56" t="s">
        <v>198</v>
      </c>
      <c r="D81" s="56"/>
      <c r="E81" s="26">
        <f>AVERAGE(K34:K41)</f>
        <v>7.25</v>
      </c>
      <c r="F81" s="56">
        <f>M34</f>
        <v>25</v>
      </c>
      <c r="G81" s="56"/>
      <c r="H81" s="56"/>
      <c r="I81" s="82">
        <f>N34</f>
        <v>7.68</v>
      </c>
      <c r="J81" s="56"/>
      <c r="K81" s="56"/>
      <c r="L81" s="56"/>
      <c r="M81" s="82">
        <f>P34</f>
        <v>6.9</v>
      </c>
      <c r="N81" s="56"/>
      <c r="O81" s="56"/>
      <c r="P81" s="39"/>
      <c r="Q81" s="40"/>
    </row>
    <row r="82" spans="1:17" ht="27" customHeight="1" x14ac:dyDescent="0.25">
      <c r="A82" s="38"/>
      <c r="B82" s="24">
        <v>5</v>
      </c>
      <c r="C82" s="56" t="s">
        <v>199</v>
      </c>
      <c r="D82" s="56"/>
      <c r="E82" s="26">
        <f>AVERAGE(K42:K50)</f>
        <v>8</v>
      </c>
      <c r="F82" s="56">
        <f>M42</f>
        <v>23</v>
      </c>
      <c r="G82" s="56"/>
      <c r="H82" s="56"/>
      <c r="I82" s="82">
        <f>N42</f>
        <v>7.8695652173913047</v>
      </c>
      <c r="J82" s="56"/>
      <c r="K82" s="56"/>
      <c r="L82" s="56"/>
      <c r="M82" s="82">
        <f>P42</f>
        <v>7.0813008130081299</v>
      </c>
      <c r="N82" s="56"/>
      <c r="O82" s="56"/>
      <c r="P82" s="39"/>
      <c r="Q82" s="40"/>
    </row>
    <row r="83" spans="1:17" ht="27" customHeight="1" x14ac:dyDescent="0.25">
      <c r="A83" s="38"/>
      <c r="B83" s="24">
        <v>6</v>
      </c>
      <c r="C83" s="56" t="s">
        <v>200</v>
      </c>
      <c r="D83" s="56"/>
      <c r="E83" s="26">
        <f>AVERAGE(K51:K58)</f>
        <v>8.125</v>
      </c>
      <c r="F83" s="56">
        <f>M51</f>
        <v>23</v>
      </c>
      <c r="G83" s="56"/>
      <c r="H83" s="56"/>
      <c r="I83" s="82">
        <f>N51</f>
        <v>8.0434782608695645</v>
      </c>
      <c r="J83" s="56"/>
      <c r="K83" s="56"/>
      <c r="L83" s="56"/>
      <c r="M83" s="82">
        <f>P51</f>
        <v>7.2328767123287667</v>
      </c>
      <c r="N83" s="56"/>
      <c r="O83" s="56"/>
      <c r="P83" s="39"/>
      <c r="Q83" s="40"/>
    </row>
    <row r="84" spans="1:17" ht="27" customHeight="1" x14ac:dyDescent="0.25">
      <c r="A84" s="38"/>
      <c r="B84" s="24">
        <v>7</v>
      </c>
      <c r="C84" s="56" t="s">
        <v>201</v>
      </c>
      <c r="D84" s="56"/>
      <c r="E84" s="26">
        <f>AVERAGE(K59:K66)</f>
        <v>8.5</v>
      </c>
      <c r="F84" s="56">
        <f>M59</f>
        <v>22</v>
      </c>
      <c r="G84" s="56"/>
      <c r="H84" s="56"/>
      <c r="I84" s="82">
        <f>N59</f>
        <v>8.454545454545455</v>
      </c>
      <c r="J84" s="56"/>
      <c r="K84" s="56"/>
      <c r="L84" s="56"/>
      <c r="M84" s="82">
        <f>P59</f>
        <v>7.3928571428571432</v>
      </c>
      <c r="N84" s="56"/>
      <c r="O84" s="56"/>
      <c r="P84" s="39"/>
      <c r="Q84" s="40"/>
    </row>
    <row r="85" spans="1:17" ht="27" customHeight="1" x14ac:dyDescent="0.25">
      <c r="A85" s="38"/>
      <c r="B85" s="24">
        <v>8</v>
      </c>
      <c r="C85" s="56" t="s">
        <v>202</v>
      </c>
      <c r="D85" s="56"/>
      <c r="E85" s="26">
        <f>AVERAGE(K67:K69)</f>
        <v>8.6666666666666661</v>
      </c>
      <c r="F85" s="56">
        <f>M67</f>
        <v>12</v>
      </c>
      <c r="G85" s="56"/>
      <c r="H85" s="56"/>
      <c r="I85" s="82">
        <f>N67</f>
        <v>9</v>
      </c>
      <c r="J85" s="56"/>
      <c r="K85" s="56"/>
      <c r="L85" s="56"/>
      <c r="M85" s="82">
        <f>P67</f>
        <v>7.5</v>
      </c>
      <c r="N85" s="56"/>
      <c r="O85" s="56"/>
      <c r="P85" s="39"/>
      <c r="Q85" s="40"/>
    </row>
    <row r="86" spans="1:17" ht="27" customHeight="1" x14ac:dyDescent="0.25">
      <c r="A86" s="38"/>
      <c r="B86" s="47"/>
      <c r="C86" s="54"/>
      <c r="D86" s="54"/>
      <c r="E86" s="41"/>
      <c r="F86" s="55"/>
      <c r="G86" s="55"/>
      <c r="H86" s="55"/>
      <c r="I86" s="54"/>
      <c r="J86" s="54"/>
      <c r="K86" s="54"/>
      <c r="L86" s="54"/>
      <c r="M86" s="54"/>
      <c r="N86" s="54"/>
      <c r="O86" s="54"/>
      <c r="P86" s="39"/>
      <c r="Q86" s="40"/>
    </row>
    <row r="87" spans="1:17" x14ac:dyDescent="0.25">
      <c r="A87" s="44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6"/>
    </row>
    <row r="88" spans="1:17" ht="19.5" x14ac:dyDescent="0.25">
      <c r="A88" s="42" t="s">
        <v>188</v>
      </c>
      <c r="B88" s="43" t="s">
        <v>189</v>
      </c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40"/>
    </row>
    <row r="89" spans="1:17" x14ac:dyDescent="0.25">
      <c r="A89" s="38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40"/>
    </row>
    <row r="90" spans="1:17" x14ac:dyDescent="0.25">
      <c r="A90" s="38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40"/>
    </row>
    <row r="91" spans="1:17" x14ac:dyDescent="0.25">
      <c r="A91" s="38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40"/>
    </row>
    <row r="92" spans="1:17" x14ac:dyDescent="0.25">
      <c r="A92" s="38"/>
      <c r="B92"/>
      <c r="C92"/>
      <c r="D92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40"/>
    </row>
    <row r="93" spans="1:17" x14ac:dyDescent="0.25">
      <c r="A93" s="38"/>
      <c r="B93"/>
      <c r="C93"/>
      <c r="D93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40"/>
    </row>
    <row r="94" spans="1:17" x14ac:dyDescent="0.25">
      <c r="A94" s="38"/>
      <c r="B94"/>
      <c r="C94"/>
      <c r="D94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40"/>
    </row>
    <row r="95" spans="1:17" x14ac:dyDescent="0.25">
      <c r="A95" s="38"/>
      <c r="B95"/>
      <c r="C95"/>
      <c r="D95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40"/>
    </row>
    <row r="96" spans="1:17" x14ac:dyDescent="0.25">
      <c r="A96" s="38"/>
      <c r="B96"/>
      <c r="C96"/>
      <c r="D96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40"/>
    </row>
    <row r="97" spans="1:17" x14ac:dyDescent="0.25">
      <c r="A97" s="38"/>
      <c r="B97"/>
      <c r="C97"/>
      <c r="D97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40"/>
    </row>
    <row r="98" spans="1:17" x14ac:dyDescent="0.25">
      <c r="A98" s="38"/>
      <c r="B98"/>
      <c r="C98"/>
      <c r="D98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40"/>
    </row>
    <row r="99" spans="1:17" x14ac:dyDescent="0.25">
      <c r="A99" s="38"/>
      <c r="B99"/>
      <c r="C99"/>
      <c r="D9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40"/>
    </row>
    <row r="100" spans="1:17" x14ac:dyDescent="0.25">
      <c r="A100" s="38"/>
      <c r="B100"/>
      <c r="C100"/>
      <c r="D100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40"/>
    </row>
    <row r="101" spans="1:17" x14ac:dyDescent="0.25">
      <c r="A101" s="38"/>
      <c r="B101"/>
      <c r="C101"/>
      <c r="D101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40"/>
    </row>
    <row r="102" spans="1:17" x14ac:dyDescent="0.25">
      <c r="A102" s="38"/>
      <c r="B102"/>
      <c r="C102"/>
      <c r="D102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40"/>
    </row>
    <row r="103" spans="1:17" x14ac:dyDescent="0.25">
      <c r="A103" s="38"/>
      <c r="B103"/>
      <c r="C103"/>
      <c r="D103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40"/>
    </row>
    <row r="104" spans="1:17" x14ac:dyDescent="0.25">
      <c r="A104" s="38"/>
      <c r="B104"/>
      <c r="C104"/>
      <c r="D104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40"/>
    </row>
    <row r="105" spans="1:17" x14ac:dyDescent="0.25">
      <c r="A105" s="38"/>
      <c r="B105"/>
      <c r="C105"/>
      <c r="D105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40"/>
    </row>
    <row r="106" spans="1:17" x14ac:dyDescent="0.25">
      <c r="A106" s="38"/>
      <c r="B106"/>
      <c r="C106"/>
      <c r="D106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40"/>
    </row>
    <row r="107" spans="1:17" x14ac:dyDescent="0.25">
      <c r="A107" s="38"/>
      <c r="B107"/>
      <c r="C107"/>
      <c r="D107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40"/>
    </row>
    <row r="108" spans="1:17" x14ac:dyDescent="0.25">
      <c r="A108" s="38"/>
      <c r="B108"/>
      <c r="C108"/>
      <c r="D108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40"/>
    </row>
    <row r="109" spans="1:17" x14ac:dyDescent="0.25">
      <c r="A109" s="38"/>
      <c r="B109"/>
      <c r="C109"/>
      <c r="D10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40"/>
    </row>
    <row r="110" spans="1:17" x14ac:dyDescent="0.25">
      <c r="A110" s="38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40"/>
    </row>
    <row r="111" spans="1:17" x14ac:dyDescent="0.25">
      <c r="A111" s="38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40"/>
    </row>
    <row r="112" spans="1:17" x14ac:dyDescent="0.25">
      <c r="A112" s="38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40"/>
    </row>
    <row r="113" spans="1:17" x14ac:dyDescent="0.25">
      <c r="A113" s="38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40"/>
    </row>
    <row r="114" spans="1:17" x14ac:dyDescent="0.25">
      <c r="A114" s="38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40"/>
    </row>
    <row r="115" spans="1:17" x14ac:dyDescent="0.25">
      <c r="A115" s="38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40"/>
    </row>
    <row r="116" spans="1:17" x14ac:dyDescent="0.25">
      <c r="A116" s="38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40"/>
    </row>
    <row r="117" spans="1:17" x14ac:dyDescent="0.25">
      <c r="A117" s="38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40"/>
    </row>
    <row r="118" spans="1:17" x14ac:dyDescent="0.25">
      <c r="A118" s="38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40"/>
    </row>
    <row r="119" spans="1:17" x14ac:dyDescent="0.25">
      <c r="A119" s="38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40"/>
    </row>
    <row r="120" spans="1:17" x14ac:dyDescent="0.25">
      <c r="A120" s="38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40"/>
    </row>
    <row r="121" spans="1:17" x14ac:dyDescent="0.25">
      <c r="A121" s="38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40"/>
    </row>
    <row r="122" spans="1:17" x14ac:dyDescent="0.25">
      <c r="A122" s="38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40"/>
    </row>
    <row r="123" spans="1:17" x14ac:dyDescent="0.25">
      <c r="A123" s="38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40"/>
    </row>
    <row r="124" spans="1:17" x14ac:dyDescent="0.25">
      <c r="A124" s="38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40"/>
    </row>
    <row r="125" spans="1:17" x14ac:dyDescent="0.25">
      <c r="A125" s="38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40"/>
    </row>
    <row r="126" spans="1:17" x14ac:dyDescent="0.25">
      <c r="A126" s="38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40"/>
    </row>
    <row r="127" spans="1:17" x14ac:dyDescent="0.25">
      <c r="A127" s="38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40"/>
    </row>
    <row r="128" spans="1:17" x14ac:dyDescent="0.25">
      <c r="A128" s="38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40"/>
    </row>
    <row r="129" spans="1:17" x14ac:dyDescent="0.25">
      <c r="A129" s="38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40"/>
    </row>
    <row r="130" spans="1:17" x14ac:dyDescent="0.25">
      <c r="A130" s="38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40"/>
    </row>
    <row r="131" spans="1:17" x14ac:dyDescent="0.25">
      <c r="A131" s="38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40"/>
    </row>
    <row r="132" spans="1:17" x14ac:dyDescent="0.25">
      <c r="A132" s="38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40"/>
    </row>
    <row r="133" spans="1:17" x14ac:dyDescent="0.25">
      <c r="A133" s="38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40"/>
    </row>
    <row r="134" spans="1:17" x14ac:dyDescent="0.25">
      <c r="A134" s="38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40"/>
    </row>
    <row r="135" spans="1:17" x14ac:dyDescent="0.25">
      <c r="A135" s="38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40"/>
    </row>
    <row r="136" spans="1:17" x14ac:dyDescent="0.25">
      <c r="A136" s="44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6"/>
    </row>
  </sheetData>
  <mergeCells count="149">
    <mergeCell ref="B18:B25"/>
    <mergeCell ref="C26:C31"/>
    <mergeCell ref="C32:C33"/>
    <mergeCell ref="B26:B33"/>
    <mergeCell ref="V17:W17"/>
    <mergeCell ref="S17:U17"/>
    <mergeCell ref="A1:Q1"/>
    <mergeCell ref="A2:C2"/>
    <mergeCell ref="A3:C3"/>
    <mergeCell ref="B6:B7"/>
    <mergeCell ref="C6:C7"/>
    <mergeCell ref="D6:D7"/>
    <mergeCell ref="E6:E7"/>
    <mergeCell ref="A6:A7"/>
    <mergeCell ref="B8:B17"/>
    <mergeCell ref="C8:C13"/>
    <mergeCell ref="C14:C17"/>
    <mergeCell ref="M8:M17"/>
    <mergeCell ref="N8:N17"/>
    <mergeCell ref="A26:A41"/>
    <mergeCell ref="A8:A25"/>
    <mergeCell ref="D2:E2"/>
    <mergeCell ref="D3:E3"/>
    <mergeCell ref="A4:C4"/>
    <mergeCell ref="D4:E4"/>
    <mergeCell ref="C67:C68"/>
    <mergeCell ref="B67:B69"/>
    <mergeCell ref="A59:A69"/>
    <mergeCell ref="A42:A58"/>
    <mergeCell ref="C51:C56"/>
    <mergeCell ref="C57:C58"/>
    <mergeCell ref="B51:B58"/>
    <mergeCell ref="C59:C64"/>
    <mergeCell ref="C65:C66"/>
    <mergeCell ref="B59:B66"/>
    <mergeCell ref="C34:C39"/>
    <mergeCell ref="C40:C41"/>
    <mergeCell ref="B34:B41"/>
    <mergeCell ref="C42:C46"/>
    <mergeCell ref="C47:C50"/>
    <mergeCell ref="B42:B50"/>
    <mergeCell ref="C18:C23"/>
    <mergeCell ref="C24:C25"/>
    <mergeCell ref="Q26:Q33"/>
    <mergeCell ref="I26:I33"/>
    <mergeCell ref="I34:I41"/>
    <mergeCell ref="I42:I50"/>
    <mergeCell ref="I51:I58"/>
    <mergeCell ref="I59:I69"/>
    <mergeCell ref="Q8:Q17"/>
    <mergeCell ref="I8:I17"/>
    <mergeCell ref="S6:T6"/>
    <mergeCell ref="I18:I25"/>
    <mergeCell ref="M18:M25"/>
    <mergeCell ref="N18:N25"/>
    <mergeCell ref="Q18:Q25"/>
    <mergeCell ref="S16:U16"/>
    <mergeCell ref="N6:N7"/>
    <mergeCell ref="O6:O7"/>
    <mergeCell ref="P6:P7"/>
    <mergeCell ref="Q6:Q7"/>
    <mergeCell ref="I6:I7"/>
    <mergeCell ref="J6:J7"/>
    <mergeCell ref="K6:K7"/>
    <mergeCell ref="L6:L7"/>
    <mergeCell ref="M6:M7"/>
    <mergeCell ref="S5:U5"/>
    <mergeCell ref="B71:Q71"/>
    <mergeCell ref="A70:Q70"/>
    <mergeCell ref="B73:E73"/>
    <mergeCell ref="P8:P17"/>
    <mergeCell ref="P18:P25"/>
    <mergeCell ref="O8:O17"/>
    <mergeCell ref="O18:O25"/>
    <mergeCell ref="F73:H73"/>
    <mergeCell ref="M59:M66"/>
    <mergeCell ref="N59:N66"/>
    <mergeCell ref="M67:M69"/>
    <mergeCell ref="N67:N69"/>
    <mergeCell ref="O59:O66"/>
    <mergeCell ref="P59:P66"/>
    <mergeCell ref="Q59:Q66"/>
    <mergeCell ref="O67:O69"/>
    <mergeCell ref="P67:P69"/>
    <mergeCell ref="Q67:Q69"/>
    <mergeCell ref="M51:M58"/>
    <mergeCell ref="N51:N58"/>
    <mergeCell ref="O51:O58"/>
    <mergeCell ref="P51:P58"/>
    <mergeCell ref="Q51:Q58"/>
    <mergeCell ref="C77:D77"/>
    <mergeCell ref="F77:H77"/>
    <mergeCell ref="M77:O77"/>
    <mergeCell ref="I77:L77"/>
    <mergeCell ref="C78:D78"/>
    <mergeCell ref="F78:H78"/>
    <mergeCell ref="I78:L78"/>
    <mergeCell ref="M78:O78"/>
    <mergeCell ref="V16:W16"/>
    <mergeCell ref="F74:H74"/>
    <mergeCell ref="M42:M50"/>
    <mergeCell ref="N42:N50"/>
    <mergeCell ref="O42:O50"/>
    <mergeCell ref="P42:P50"/>
    <mergeCell ref="Q42:Q50"/>
    <mergeCell ref="M34:M41"/>
    <mergeCell ref="N34:N41"/>
    <mergeCell ref="O34:O41"/>
    <mergeCell ref="P34:P41"/>
    <mergeCell ref="Q34:Q41"/>
    <mergeCell ref="M26:M33"/>
    <mergeCell ref="N26:N33"/>
    <mergeCell ref="O26:O33"/>
    <mergeCell ref="P26:P33"/>
    <mergeCell ref="F82:H82"/>
    <mergeCell ref="I82:L82"/>
    <mergeCell ref="M82:O82"/>
    <mergeCell ref="C79:D79"/>
    <mergeCell ref="F79:H79"/>
    <mergeCell ref="I79:L79"/>
    <mergeCell ref="M79:O79"/>
    <mergeCell ref="C80:D80"/>
    <mergeCell ref="F80:H80"/>
    <mergeCell ref="I80:L80"/>
    <mergeCell ref="M80:O80"/>
    <mergeCell ref="B74:E74"/>
    <mergeCell ref="B75:E75"/>
    <mergeCell ref="F75:H75"/>
    <mergeCell ref="C86:D86"/>
    <mergeCell ref="F86:H86"/>
    <mergeCell ref="I86:L86"/>
    <mergeCell ref="M86:O86"/>
    <mergeCell ref="C85:D85"/>
    <mergeCell ref="F85:H85"/>
    <mergeCell ref="I85:L85"/>
    <mergeCell ref="M85:O85"/>
    <mergeCell ref="C83:D83"/>
    <mergeCell ref="F83:H83"/>
    <mergeCell ref="I83:L83"/>
    <mergeCell ref="M83:O83"/>
    <mergeCell ref="C84:D84"/>
    <mergeCell ref="F84:H84"/>
    <mergeCell ref="I84:L84"/>
    <mergeCell ref="M84:O84"/>
    <mergeCell ref="C81:D81"/>
    <mergeCell ref="F81:H81"/>
    <mergeCell ref="I81:L81"/>
    <mergeCell ref="M81:O81"/>
    <mergeCell ref="C82:D82"/>
  </mergeCells>
  <conditionalFormatting sqref="K8:K17">
    <cfRule type="cellIs" dxfId="17" priority="13" operator="lessThan">
      <formula>5</formula>
    </cfRule>
    <cfRule type="cellIs" dxfId="16" priority="14" operator="between">
      <formula>5</formula>
      <formula>6.1</formula>
    </cfRule>
    <cfRule type="cellIs" dxfId="15" priority="15" operator="between">
      <formula>6</formula>
      <formula>7.1</formula>
    </cfRule>
    <cfRule type="cellIs" dxfId="14" priority="16" operator="between">
      <formula>7</formula>
      <formula>8.5</formula>
    </cfRule>
    <cfRule type="cellIs" dxfId="13" priority="17" operator="between">
      <formula>8</formula>
      <formula>9.1</formula>
    </cfRule>
    <cfRule type="cellIs" dxfId="12" priority="18" operator="greaterThanOrEqual">
      <formula>9</formula>
    </cfRule>
  </conditionalFormatting>
  <conditionalFormatting sqref="K18:K25">
    <cfRule type="cellIs" dxfId="11" priority="7" operator="lessThan">
      <formula>5</formula>
    </cfRule>
    <cfRule type="cellIs" dxfId="10" priority="8" operator="between">
      <formula>5</formula>
      <formula>6.1</formula>
    </cfRule>
    <cfRule type="cellIs" dxfId="9" priority="9" operator="between">
      <formula>6</formula>
      <formula>7.1</formula>
    </cfRule>
    <cfRule type="cellIs" dxfId="8" priority="10" operator="between">
      <formula>7</formula>
      <formula>8.5</formula>
    </cfRule>
    <cfRule type="cellIs" dxfId="7" priority="11" operator="between">
      <formula>8</formula>
      <formula>9.1</formula>
    </cfRule>
    <cfRule type="cellIs" dxfId="6" priority="12" operator="greaterThanOrEqual">
      <formula>9</formula>
    </cfRule>
  </conditionalFormatting>
  <conditionalFormatting sqref="K26:K69">
    <cfRule type="cellIs" dxfId="5" priority="1" operator="lessThan">
      <formula>5</formula>
    </cfRule>
    <cfRule type="cellIs" dxfId="4" priority="2" operator="between">
      <formula>5</formula>
      <formula>6.1</formula>
    </cfRule>
    <cfRule type="cellIs" dxfId="3" priority="3" operator="between">
      <formula>6</formula>
      <formula>7.1</formula>
    </cfRule>
    <cfRule type="cellIs" dxfId="2" priority="4" operator="between">
      <formula>7</formula>
      <formula>8.5</formula>
    </cfRule>
    <cfRule type="cellIs" dxfId="1" priority="5" operator="between">
      <formula>8</formula>
      <formula>9.1</formula>
    </cfRule>
    <cfRule type="cellIs" dxfId="0" priority="6" operator="greaterThanOrEqual">
      <formula>9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3918-5937-4382-A9D2-47B5A134067F}">
  <dimension ref="B3:I82"/>
  <sheetViews>
    <sheetView topLeftCell="A49" workbookViewId="0">
      <selection activeCell="H62" sqref="H55:H62"/>
    </sheetView>
  </sheetViews>
  <sheetFormatPr defaultRowHeight="12.75" x14ac:dyDescent="0.2"/>
  <cols>
    <col min="1" max="1" width="9.140625" style="2"/>
    <col min="2" max="2" width="15.28515625" style="2" customWidth="1"/>
    <col min="3" max="3" width="17.42578125" style="2" customWidth="1"/>
    <col min="4" max="4" width="54.85546875" style="2" customWidth="1"/>
    <col min="5" max="8" width="13" style="18" customWidth="1"/>
    <col min="9" max="16384" width="9.140625" style="2"/>
  </cols>
  <sheetData>
    <row r="3" spans="2:9" x14ac:dyDescent="0.2">
      <c r="B3" s="1" t="s">
        <v>69</v>
      </c>
      <c r="C3" s="1" t="s">
        <v>41</v>
      </c>
      <c r="D3" s="1" t="s">
        <v>42</v>
      </c>
      <c r="E3" s="12" t="s">
        <v>43</v>
      </c>
      <c r="F3" s="12" t="s">
        <v>44</v>
      </c>
      <c r="G3" s="12" t="s">
        <v>45</v>
      </c>
      <c r="H3" s="12" t="s">
        <v>46</v>
      </c>
    </row>
    <row r="4" spans="2:9" s="4" customFormat="1" x14ac:dyDescent="0.2">
      <c r="B4" s="3" t="s">
        <v>47</v>
      </c>
      <c r="C4" s="3" t="s">
        <v>48</v>
      </c>
      <c r="D4" s="3" t="s">
        <v>49</v>
      </c>
      <c r="E4" s="13">
        <v>3</v>
      </c>
      <c r="F4" s="13">
        <v>1</v>
      </c>
      <c r="G4" s="13">
        <v>0</v>
      </c>
      <c r="H4" s="13">
        <v>4</v>
      </c>
      <c r="I4" s="4">
        <f>SUM(H4:H13)</f>
        <v>27</v>
      </c>
    </row>
    <row r="5" spans="2:9" s="4" customFormat="1" x14ac:dyDescent="0.2">
      <c r="B5" s="3"/>
      <c r="C5" s="5" t="s">
        <v>50</v>
      </c>
      <c r="D5" s="6" t="s">
        <v>51</v>
      </c>
      <c r="E5" s="14">
        <v>3</v>
      </c>
      <c r="F5" s="14">
        <v>1</v>
      </c>
      <c r="G5" s="14">
        <v>0</v>
      </c>
      <c r="H5" s="14">
        <v>4</v>
      </c>
    </row>
    <row r="6" spans="2:9" s="4" customFormat="1" x14ac:dyDescent="0.2">
      <c r="B6" s="3"/>
      <c r="C6" s="3" t="s">
        <v>52</v>
      </c>
      <c r="D6" s="3" t="s">
        <v>53</v>
      </c>
      <c r="E6" s="13">
        <v>3</v>
      </c>
      <c r="F6" s="13">
        <v>0</v>
      </c>
      <c r="G6" s="13">
        <v>0</v>
      </c>
      <c r="H6" s="13">
        <v>3</v>
      </c>
    </row>
    <row r="7" spans="2:9" s="4" customFormat="1" x14ac:dyDescent="0.2">
      <c r="B7" s="3"/>
      <c r="C7" s="5" t="s">
        <v>54</v>
      </c>
      <c r="D7" s="5" t="s">
        <v>55</v>
      </c>
      <c r="E7" s="14">
        <v>3</v>
      </c>
      <c r="F7" s="14">
        <v>0</v>
      </c>
      <c r="G7" s="14">
        <v>0</v>
      </c>
      <c r="H7" s="14">
        <v>3</v>
      </c>
    </row>
    <row r="8" spans="2:9" s="4" customFormat="1" x14ac:dyDescent="0.2">
      <c r="B8" s="3"/>
      <c r="C8" s="3" t="s">
        <v>56</v>
      </c>
      <c r="D8" s="3" t="s">
        <v>57</v>
      </c>
      <c r="E8" s="13">
        <v>2</v>
      </c>
      <c r="F8" s="13">
        <v>0</v>
      </c>
      <c r="G8" s="13">
        <v>3</v>
      </c>
      <c r="H8" s="13">
        <v>4</v>
      </c>
    </row>
    <row r="9" spans="2:9" s="4" customFormat="1" x14ac:dyDescent="0.2">
      <c r="B9" s="3"/>
      <c r="C9" s="5" t="s">
        <v>58</v>
      </c>
      <c r="D9" s="6" t="s">
        <v>59</v>
      </c>
      <c r="E9" s="14">
        <v>3</v>
      </c>
      <c r="F9" s="14">
        <v>0</v>
      </c>
      <c r="G9" s="14">
        <v>0</v>
      </c>
      <c r="H9" s="14">
        <v>3</v>
      </c>
    </row>
    <row r="10" spans="2:9" s="4" customFormat="1" x14ac:dyDescent="0.2">
      <c r="B10" s="3" t="s">
        <v>60</v>
      </c>
      <c r="C10" s="3" t="s">
        <v>61</v>
      </c>
      <c r="D10" s="3" t="s">
        <v>62</v>
      </c>
      <c r="E10" s="13">
        <v>0</v>
      </c>
      <c r="F10" s="13">
        <v>0</v>
      </c>
      <c r="G10" s="13">
        <v>2</v>
      </c>
      <c r="H10" s="13">
        <v>1</v>
      </c>
    </row>
    <row r="11" spans="2:9" s="4" customFormat="1" x14ac:dyDescent="0.2">
      <c r="B11" s="3"/>
      <c r="C11" s="5" t="s">
        <v>63</v>
      </c>
      <c r="D11" s="5" t="s">
        <v>64</v>
      </c>
      <c r="E11" s="14">
        <v>0</v>
      </c>
      <c r="F11" s="14">
        <v>0</v>
      </c>
      <c r="G11" s="14">
        <v>2</v>
      </c>
      <c r="H11" s="14">
        <v>1</v>
      </c>
    </row>
    <row r="12" spans="2:9" s="4" customFormat="1" x14ac:dyDescent="0.2">
      <c r="B12" s="3"/>
      <c r="C12" s="3" t="s">
        <v>65</v>
      </c>
      <c r="D12" s="3" t="s">
        <v>66</v>
      </c>
      <c r="E12" s="13">
        <v>0</v>
      </c>
      <c r="F12" s="13">
        <v>0</v>
      </c>
      <c r="G12" s="13">
        <v>3</v>
      </c>
      <c r="H12" s="13">
        <v>2</v>
      </c>
    </row>
    <row r="13" spans="2:9" s="4" customFormat="1" x14ac:dyDescent="0.2">
      <c r="B13" s="3"/>
      <c r="C13" s="5" t="s">
        <v>67</v>
      </c>
      <c r="D13" s="6" t="s">
        <v>68</v>
      </c>
      <c r="E13" s="14">
        <v>0</v>
      </c>
      <c r="F13" s="14">
        <v>0</v>
      </c>
      <c r="G13" s="14">
        <v>3</v>
      </c>
      <c r="H13" s="14">
        <v>2</v>
      </c>
    </row>
    <row r="14" spans="2:9" s="4" customFormat="1" x14ac:dyDescent="0.2">
      <c r="B14" s="3" t="s">
        <v>47</v>
      </c>
      <c r="C14" s="7" t="s">
        <v>70</v>
      </c>
      <c r="D14" s="3" t="s">
        <v>71</v>
      </c>
      <c r="E14" s="16">
        <v>3</v>
      </c>
      <c r="F14" s="16">
        <v>1</v>
      </c>
      <c r="G14" s="16">
        <v>0</v>
      </c>
      <c r="H14" s="16">
        <v>4</v>
      </c>
      <c r="I14" s="4">
        <f>SUM(H14:H21)</f>
        <v>24</v>
      </c>
    </row>
    <row r="15" spans="2:9" s="4" customFormat="1" x14ac:dyDescent="0.2">
      <c r="B15" s="3"/>
      <c r="C15" s="8" t="s">
        <v>72</v>
      </c>
      <c r="D15" s="6" t="s">
        <v>73</v>
      </c>
      <c r="E15" s="17">
        <v>3</v>
      </c>
      <c r="F15" s="17">
        <v>1</v>
      </c>
      <c r="G15" s="17">
        <v>0</v>
      </c>
      <c r="H15" s="17">
        <v>4</v>
      </c>
    </row>
    <row r="16" spans="2:9" s="4" customFormat="1" x14ac:dyDescent="0.2">
      <c r="B16" s="3"/>
      <c r="C16" s="7" t="s">
        <v>74</v>
      </c>
      <c r="D16" s="9" t="s">
        <v>75</v>
      </c>
      <c r="E16" s="16">
        <v>3</v>
      </c>
      <c r="F16" s="16">
        <v>0</v>
      </c>
      <c r="G16" s="16">
        <v>0</v>
      </c>
      <c r="H16" s="16">
        <v>3</v>
      </c>
    </row>
    <row r="17" spans="2:8" s="4" customFormat="1" x14ac:dyDescent="0.2">
      <c r="B17" s="3"/>
      <c r="C17" s="8" t="s">
        <v>76</v>
      </c>
      <c r="D17" s="6" t="s">
        <v>77</v>
      </c>
      <c r="E17" s="17">
        <v>3</v>
      </c>
      <c r="F17" s="17">
        <v>0</v>
      </c>
      <c r="G17" s="17">
        <v>0</v>
      </c>
      <c r="H17" s="17">
        <v>3</v>
      </c>
    </row>
    <row r="18" spans="2:8" s="4" customFormat="1" x14ac:dyDescent="0.2">
      <c r="B18" s="3"/>
      <c r="C18" s="7" t="s">
        <v>78</v>
      </c>
      <c r="D18" s="9" t="s">
        <v>79</v>
      </c>
      <c r="E18" s="16">
        <v>3</v>
      </c>
      <c r="F18" s="16">
        <v>0</v>
      </c>
      <c r="G18" s="16">
        <v>0</v>
      </c>
      <c r="H18" s="16">
        <v>3</v>
      </c>
    </row>
    <row r="19" spans="2:8" s="4" customFormat="1" x14ac:dyDescent="0.2">
      <c r="B19" s="3"/>
      <c r="C19" s="8" t="s">
        <v>80</v>
      </c>
      <c r="D19" s="6" t="s">
        <v>81</v>
      </c>
      <c r="E19" s="17">
        <v>3</v>
      </c>
      <c r="F19" s="17">
        <v>0</v>
      </c>
      <c r="G19" s="17">
        <v>0</v>
      </c>
      <c r="H19" s="17">
        <v>3</v>
      </c>
    </row>
    <row r="20" spans="2:8" s="4" customFormat="1" x14ac:dyDescent="0.2">
      <c r="B20" s="7" t="s">
        <v>60</v>
      </c>
      <c r="C20" s="7" t="s">
        <v>82</v>
      </c>
      <c r="D20" s="9" t="s">
        <v>83</v>
      </c>
      <c r="E20" s="16">
        <v>0</v>
      </c>
      <c r="F20" s="16">
        <v>0</v>
      </c>
      <c r="G20" s="16">
        <v>3</v>
      </c>
      <c r="H20" s="16">
        <v>2</v>
      </c>
    </row>
    <row r="21" spans="2:8" s="4" customFormat="1" x14ac:dyDescent="0.2">
      <c r="B21" s="7"/>
      <c r="C21" s="8" t="s">
        <v>84</v>
      </c>
      <c r="D21" s="6" t="s">
        <v>85</v>
      </c>
      <c r="E21" s="17">
        <v>0</v>
      </c>
      <c r="F21" s="17">
        <v>0</v>
      </c>
      <c r="G21" s="17">
        <v>3</v>
      </c>
      <c r="H21" s="17">
        <v>2</v>
      </c>
    </row>
    <row r="22" spans="2:8" s="4" customFormat="1" x14ac:dyDescent="0.2">
      <c r="B22" s="10" t="s">
        <v>47</v>
      </c>
      <c r="C22" s="7" t="s">
        <v>86</v>
      </c>
      <c r="D22" s="9" t="s">
        <v>87</v>
      </c>
      <c r="E22" s="16">
        <v>3</v>
      </c>
      <c r="F22" s="16">
        <v>1</v>
      </c>
      <c r="G22" s="16">
        <v>0</v>
      </c>
      <c r="H22" s="16">
        <v>4</v>
      </c>
    </row>
    <row r="23" spans="2:8" s="4" customFormat="1" x14ac:dyDescent="0.2">
      <c r="B23" s="10"/>
      <c r="C23" s="8" t="s">
        <v>88</v>
      </c>
      <c r="D23" s="6" t="s">
        <v>89</v>
      </c>
      <c r="E23" s="17">
        <v>3</v>
      </c>
      <c r="F23" s="17">
        <v>0</v>
      </c>
      <c r="G23" s="17">
        <v>0</v>
      </c>
      <c r="H23" s="17">
        <v>3</v>
      </c>
    </row>
    <row r="24" spans="2:8" s="4" customFormat="1" x14ac:dyDescent="0.2">
      <c r="B24" s="10"/>
      <c r="C24" s="7" t="s">
        <v>90</v>
      </c>
      <c r="D24" s="9" t="s">
        <v>91</v>
      </c>
      <c r="E24" s="16">
        <v>3</v>
      </c>
      <c r="F24" s="16">
        <v>0</v>
      </c>
      <c r="G24" s="16">
        <v>0</v>
      </c>
      <c r="H24" s="16">
        <v>3</v>
      </c>
    </row>
    <row r="25" spans="2:8" s="4" customFormat="1" x14ac:dyDescent="0.2">
      <c r="B25" s="10"/>
      <c r="C25" s="8" t="s">
        <v>92</v>
      </c>
      <c r="D25" s="6" t="s">
        <v>93</v>
      </c>
      <c r="E25" s="17">
        <v>3</v>
      </c>
      <c r="F25" s="17">
        <v>0</v>
      </c>
      <c r="G25" s="17">
        <v>0</v>
      </c>
      <c r="H25" s="17">
        <v>3</v>
      </c>
    </row>
    <row r="26" spans="2:8" s="4" customFormat="1" x14ac:dyDescent="0.2">
      <c r="B26" s="10"/>
      <c r="C26" s="7" t="s">
        <v>94</v>
      </c>
      <c r="D26" s="9" t="s">
        <v>95</v>
      </c>
      <c r="E26" s="16">
        <v>3</v>
      </c>
      <c r="F26" s="16">
        <v>0</v>
      </c>
      <c r="G26" s="16">
        <v>0</v>
      </c>
      <c r="H26" s="16">
        <v>3</v>
      </c>
    </row>
    <row r="27" spans="2:8" s="4" customFormat="1" x14ac:dyDescent="0.2">
      <c r="B27" s="10"/>
      <c r="C27" s="8" t="s">
        <v>96</v>
      </c>
      <c r="D27" s="6" t="s">
        <v>97</v>
      </c>
      <c r="E27" s="17">
        <v>3</v>
      </c>
      <c r="F27" s="17">
        <v>1</v>
      </c>
      <c r="G27" s="17">
        <v>0</v>
      </c>
      <c r="H27" s="17">
        <v>4</v>
      </c>
    </row>
    <row r="28" spans="2:8" s="4" customFormat="1" x14ac:dyDescent="0.2">
      <c r="B28" s="3" t="s">
        <v>60</v>
      </c>
      <c r="C28" s="7" t="s">
        <v>98</v>
      </c>
      <c r="D28" s="9" t="s">
        <v>99</v>
      </c>
      <c r="E28" s="16">
        <v>0</v>
      </c>
      <c r="F28" s="16">
        <v>0</v>
      </c>
      <c r="G28" s="16">
        <v>3</v>
      </c>
      <c r="H28" s="16">
        <v>2</v>
      </c>
    </row>
    <row r="29" spans="2:8" s="4" customFormat="1" x14ac:dyDescent="0.2">
      <c r="B29" s="3"/>
      <c r="C29" s="8" t="s">
        <v>100</v>
      </c>
      <c r="D29" s="6" t="s">
        <v>101</v>
      </c>
      <c r="E29" s="17">
        <v>0</v>
      </c>
      <c r="F29" s="17">
        <v>0</v>
      </c>
      <c r="G29" s="17">
        <v>3</v>
      </c>
      <c r="H29" s="17">
        <v>2</v>
      </c>
    </row>
    <row r="30" spans="2:8" s="4" customFormat="1" x14ac:dyDescent="0.2">
      <c r="B30" s="7" t="s">
        <v>47</v>
      </c>
      <c r="C30" s="7" t="s">
        <v>102</v>
      </c>
      <c r="D30" s="9" t="s">
        <v>103</v>
      </c>
      <c r="E30" s="16">
        <v>3</v>
      </c>
      <c r="F30" s="16">
        <v>0</v>
      </c>
      <c r="G30" s="16">
        <v>0</v>
      </c>
      <c r="H30" s="16">
        <v>3</v>
      </c>
    </row>
    <row r="31" spans="2:8" s="4" customFormat="1" x14ac:dyDescent="0.2">
      <c r="B31" s="7"/>
      <c r="C31" s="5" t="s">
        <v>104</v>
      </c>
      <c r="D31" s="6" t="s">
        <v>105</v>
      </c>
      <c r="E31" s="17">
        <v>3</v>
      </c>
      <c r="F31" s="17">
        <v>0</v>
      </c>
      <c r="G31" s="17">
        <v>2</v>
      </c>
      <c r="H31" s="17">
        <v>4</v>
      </c>
    </row>
    <row r="32" spans="2:8" s="4" customFormat="1" x14ac:dyDescent="0.2">
      <c r="B32" s="7"/>
      <c r="C32" s="3" t="s">
        <v>106</v>
      </c>
      <c r="D32" s="9" t="s">
        <v>107</v>
      </c>
      <c r="E32" s="16">
        <v>3</v>
      </c>
      <c r="F32" s="16">
        <v>0</v>
      </c>
      <c r="G32" s="16">
        <v>0</v>
      </c>
      <c r="H32" s="16">
        <v>3</v>
      </c>
    </row>
    <row r="33" spans="2:8" s="4" customFormat="1" x14ac:dyDescent="0.2">
      <c r="B33" s="7"/>
      <c r="C33" s="5" t="s">
        <v>108</v>
      </c>
      <c r="D33" s="6" t="s">
        <v>109</v>
      </c>
      <c r="E33" s="17">
        <v>4</v>
      </c>
      <c r="F33" s="17">
        <v>0</v>
      </c>
      <c r="G33" s="17">
        <v>0</v>
      </c>
      <c r="H33" s="17">
        <v>4</v>
      </c>
    </row>
    <row r="34" spans="2:8" s="4" customFormat="1" x14ac:dyDescent="0.2">
      <c r="B34" s="7"/>
      <c r="C34" s="3" t="s">
        <v>110</v>
      </c>
      <c r="D34" s="9" t="s">
        <v>111</v>
      </c>
      <c r="E34" s="16">
        <v>3</v>
      </c>
      <c r="F34" s="16">
        <v>1</v>
      </c>
      <c r="G34" s="16">
        <v>0</v>
      </c>
      <c r="H34" s="16">
        <v>4</v>
      </c>
    </row>
    <row r="35" spans="2:8" s="4" customFormat="1" x14ac:dyDescent="0.2">
      <c r="B35" s="7"/>
      <c r="C35" s="5" t="s">
        <v>112</v>
      </c>
      <c r="D35" s="6" t="s">
        <v>113</v>
      </c>
      <c r="E35" s="17">
        <v>3</v>
      </c>
      <c r="F35" s="17">
        <v>0</v>
      </c>
      <c r="G35" s="17">
        <v>0</v>
      </c>
      <c r="H35" s="17">
        <v>3</v>
      </c>
    </row>
    <row r="36" spans="2:8" s="4" customFormat="1" x14ac:dyDescent="0.2">
      <c r="B36" s="3" t="s">
        <v>60</v>
      </c>
      <c r="C36" s="5" t="s">
        <v>114</v>
      </c>
      <c r="D36" s="6" t="s">
        <v>115</v>
      </c>
      <c r="E36" s="17">
        <v>0</v>
      </c>
      <c r="F36" s="17">
        <v>0</v>
      </c>
      <c r="G36" s="17">
        <v>3</v>
      </c>
      <c r="H36" s="17">
        <v>2</v>
      </c>
    </row>
    <row r="37" spans="2:8" s="4" customFormat="1" x14ac:dyDescent="0.2">
      <c r="B37" s="3"/>
      <c r="C37" s="3" t="s">
        <v>116</v>
      </c>
      <c r="D37" s="9" t="s">
        <v>117</v>
      </c>
      <c r="E37" s="16">
        <v>0</v>
      </c>
      <c r="F37" s="16">
        <v>0</v>
      </c>
      <c r="G37" s="16">
        <v>3</v>
      </c>
      <c r="H37" s="16">
        <v>2</v>
      </c>
    </row>
    <row r="38" spans="2:8" s="4" customFormat="1" x14ac:dyDescent="0.2">
      <c r="B38" s="7" t="s">
        <v>47</v>
      </c>
      <c r="C38" s="7" t="s">
        <v>118</v>
      </c>
      <c r="D38" s="9" t="s">
        <v>119</v>
      </c>
      <c r="E38" s="16">
        <v>3</v>
      </c>
      <c r="F38" s="16">
        <v>0</v>
      </c>
      <c r="G38" s="16">
        <v>0</v>
      </c>
      <c r="H38" s="16">
        <v>3</v>
      </c>
    </row>
    <row r="39" spans="2:8" s="4" customFormat="1" x14ac:dyDescent="0.2">
      <c r="B39" s="7"/>
      <c r="C39" s="5" t="s">
        <v>120</v>
      </c>
      <c r="D39" s="6" t="s">
        <v>121</v>
      </c>
      <c r="E39" s="17">
        <v>3</v>
      </c>
      <c r="F39" s="17">
        <v>0</v>
      </c>
      <c r="G39" s="17">
        <v>0</v>
      </c>
      <c r="H39" s="17">
        <v>3</v>
      </c>
    </row>
    <row r="40" spans="2:8" s="4" customFormat="1" x14ac:dyDescent="0.2">
      <c r="B40" s="7"/>
      <c r="C40" s="3" t="s">
        <v>122</v>
      </c>
      <c r="D40" s="9" t="s">
        <v>123</v>
      </c>
      <c r="E40" s="16">
        <v>3</v>
      </c>
      <c r="F40" s="16">
        <v>0</v>
      </c>
      <c r="G40" s="16">
        <v>0</v>
      </c>
      <c r="H40" s="16">
        <v>3</v>
      </c>
    </row>
    <row r="41" spans="2:8" s="4" customFormat="1" x14ac:dyDescent="0.2">
      <c r="B41" s="7"/>
      <c r="C41" s="5" t="s">
        <v>124</v>
      </c>
      <c r="D41" s="6" t="s">
        <v>125</v>
      </c>
      <c r="E41" s="17">
        <v>3</v>
      </c>
      <c r="F41" s="17">
        <v>0</v>
      </c>
      <c r="G41" s="17">
        <v>0</v>
      </c>
      <c r="H41" s="17">
        <v>3</v>
      </c>
    </row>
    <row r="42" spans="2:8" s="4" customFormat="1" x14ac:dyDescent="0.2">
      <c r="B42" s="7"/>
      <c r="C42" s="3" t="s">
        <v>126</v>
      </c>
      <c r="D42" s="9" t="s">
        <v>127</v>
      </c>
      <c r="E42" s="16">
        <v>3</v>
      </c>
      <c r="F42" s="16">
        <v>1</v>
      </c>
      <c r="G42" s="16">
        <v>0</v>
      </c>
      <c r="H42" s="16">
        <v>4</v>
      </c>
    </row>
    <row r="43" spans="2:8" s="4" customFormat="1" x14ac:dyDescent="0.2">
      <c r="B43" s="8" t="s">
        <v>60</v>
      </c>
      <c r="C43" s="5" t="s">
        <v>128</v>
      </c>
      <c r="D43" s="11" t="s">
        <v>129</v>
      </c>
      <c r="E43" s="17">
        <v>0</v>
      </c>
      <c r="F43" s="17">
        <v>0</v>
      </c>
      <c r="G43" s="17">
        <v>2</v>
      </c>
      <c r="H43" s="17">
        <v>1</v>
      </c>
    </row>
    <row r="44" spans="2:8" s="4" customFormat="1" x14ac:dyDescent="0.2">
      <c r="B44" s="8"/>
      <c r="C44" s="3" t="s">
        <v>130</v>
      </c>
      <c r="D44" s="9" t="s">
        <v>131</v>
      </c>
      <c r="E44" s="16">
        <v>0</v>
      </c>
      <c r="F44" s="16">
        <v>0</v>
      </c>
      <c r="G44" s="16">
        <v>3</v>
      </c>
      <c r="H44" s="16">
        <v>2</v>
      </c>
    </row>
    <row r="45" spans="2:8" s="4" customFormat="1" x14ac:dyDescent="0.2">
      <c r="B45" s="8"/>
      <c r="C45" s="5" t="s">
        <v>132</v>
      </c>
      <c r="D45" s="6" t="s">
        <v>133</v>
      </c>
      <c r="E45" s="17">
        <v>0</v>
      </c>
      <c r="F45" s="17">
        <v>0</v>
      </c>
      <c r="G45" s="17">
        <v>3</v>
      </c>
      <c r="H45" s="17">
        <v>2</v>
      </c>
    </row>
    <row r="46" spans="2:8" s="4" customFormat="1" x14ac:dyDescent="0.2">
      <c r="B46" s="8"/>
      <c r="C46" s="3" t="s">
        <v>134</v>
      </c>
      <c r="D46" s="9" t="s">
        <v>135</v>
      </c>
      <c r="E46" s="16">
        <v>0</v>
      </c>
      <c r="F46" s="16">
        <v>0</v>
      </c>
      <c r="G46" s="16">
        <v>3</v>
      </c>
      <c r="H46" s="16">
        <v>2</v>
      </c>
    </row>
    <row r="47" spans="2:8" s="4" customFormat="1" x14ac:dyDescent="0.2">
      <c r="B47" s="7" t="s">
        <v>47</v>
      </c>
      <c r="C47" s="3" t="s">
        <v>136</v>
      </c>
      <c r="D47" s="9" t="s">
        <v>137</v>
      </c>
      <c r="E47" s="16">
        <v>3</v>
      </c>
      <c r="F47" s="16">
        <v>0</v>
      </c>
      <c r="G47" s="16">
        <v>0</v>
      </c>
      <c r="H47" s="16">
        <v>3</v>
      </c>
    </row>
    <row r="48" spans="2:8" s="4" customFormat="1" x14ac:dyDescent="0.2">
      <c r="B48" s="7"/>
      <c r="C48" s="5" t="s">
        <v>138</v>
      </c>
      <c r="D48" s="6" t="s">
        <v>139</v>
      </c>
      <c r="E48" s="17">
        <v>3</v>
      </c>
      <c r="F48" s="17">
        <v>0</v>
      </c>
      <c r="G48" s="17">
        <v>0</v>
      </c>
      <c r="H48" s="17">
        <v>3</v>
      </c>
    </row>
    <row r="49" spans="2:8" s="4" customFormat="1" x14ac:dyDescent="0.2">
      <c r="B49" s="7"/>
      <c r="C49" s="3" t="s">
        <v>140</v>
      </c>
      <c r="D49" s="9" t="s">
        <v>141</v>
      </c>
      <c r="E49" s="16">
        <v>3</v>
      </c>
      <c r="F49" s="16">
        <v>0</v>
      </c>
      <c r="G49" s="16">
        <v>0</v>
      </c>
      <c r="H49" s="16">
        <v>3</v>
      </c>
    </row>
    <row r="50" spans="2:8" s="4" customFormat="1" x14ac:dyDescent="0.2">
      <c r="B50" s="7"/>
      <c r="C50" s="5" t="s">
        <v>142</v>
      </c>
      <c r="D50" s="6" t="s">
        <v>143</v>
      </c>
      <c r="E50" s="17">
        <v>3</v>
      </c>
      <c r="F50" s="17">
        <v>0</v>
      </c>
      <c r="G50" s="17">
        <v>2</v>
      </c>
      <c r="H50" s="17">
        <v>4</v>
      </c>
    </row>
    <row r="51" spans="2:8" s="4" customFormat="1" x14ac:dyDescent="0.2">
      <c r="B51" s="7"/>
      <c r="C51" s="3" t="s">
        <v>144</v>
      </c>
      <c r="D51" s="9" t="s">
        <v>145</v>
      </c>
      <c r="E51" s="16">
        <v>3</v>
      </c>
      <c r="F51" s="16">
        <v>0</v>
      </c>
      <c r="G51" s="16">
        <v>0</v>
      </c>
      <c r="H51" s="16">
        <v>3</v>
      </c>
    </row>
    <row r="52" spans="2:8" s="4" customFormat="1" x14ac:dyDescent="0.2">
      <c r="B52" s="7"/>
      <c r="C52" s="5" t="s">
        <v>146</v>
      </c>
      <c r="D52" s="5" t="s">
        <v>147</v>
      </c>
      <c r="E52" s="17">
        <v>3</v>
      </c>
      <c r="F52" s="17">
        <v>0</v>
      </c>
      <c r="G52" s="17">
        <v>0</v>
      </c>
      <c r="H52" s="17">
        <v>3</v>
      </c>
    </row>
    <row r="53" spans="2:8" s="4" customFormat="1" x14ac:dyDescent="0.2">
      <c r="B53" s="3" t="s">
        <v>60</v>
      </c>
      <c r="C53" s="3" t="s">
        <v>148</v>
      </c>
      <c r="D53" s="3" t="s">
        <v>149</v>
      </c>
      <c r="E53" s="16">
        <v>0</v>
      </c>
      <c r="F53" s="16">
        <v>0</v>
      </c>
      <c r="G53" s="16">
        <v>3</v>
      </c>
      <c r="H53" s="16">
        <v>2</v>
      </c>
    </row>
    <row r="54" spans="2:8" s="4" customFormat="1" x14ac:dyDescent="0.2">
      <c r="B54" s="3"/>
      <c r="C54" s="5" t="s">
        <v>150</v>
      </c>
      <c r="D54" s="6" t="s">
        <v>151</v>
      </c>
      <c r="E54" s="17">
        <v>0</v>
      </c>
      <c r="F54" s="17">
        <v>0</v>
      </c>
      <c r="G54" s="17">
        <v>3</v>
      </c>
      <c r="H54" s="17">
        <v>2</v>
      </c>
    </row>
    <row r="55" spans="2:8" s="4" customFormat="1" x14ac:dyDescent="0.2">
      <c r="B55" s="7" t="s">
        <v>47</v>
      </c>
      <c r="C55" s="3" t="s">
        <v>152</v>
      </c>
      <c r="D55" s="9" t="s">
        <v>153</v>
      </c>
      <c r="E55" s="16">
        <v>3</v>
      </c>
      <c r="F55" s="16">
        <v>0</v>
      </c>
      <c r="G55" s="16">
        <v>0</v>
      </c>
      <c r="H55" s="16">
        <v>3</v>
      </c>
    </row>
    <row r="56" spans="2:8" s="4" customFormat="1" x14ac:dyDescent="0.2">
      <c r="B56" s="7"/>
      <c r="C56" s="5" t="s">
        <v>154</v>
      </c>
      <c r="D56" s="6" t="s">
        <v>155</v>
      </c>
      <c r="E56" s="17">
        <v>3</v>
      </c>
      <c r="F56" s="17">
        <v>0</v>
      </c>
      <c r="G56" s="17">
        <v>0</v>
      </c>
      <c r="H56" s="17">
        <v>3</v>
      </c>
    </row>
    <row r="57" spans="2:8" s="4" customFormat="1" x14ac:dyDescent="0.2">
      <c r="B57" s="7"/>
      <c r="C57" s="3" t="s">
        <v>156</v>
      </c>
      <c r="D57" s="9" t="s">
        <v>157</v>
      </c>
      <c r="E57" s="16">
        <v>3</v>
      </c>
      <c r="F57" s="16">
        <v>0</v>
      </c>
      <c r="G57" s="16">
        <v>0</v>
      </c>
      <c r="H57" s="16">
        <v>3</v>
      </c>
    </row>
    <row r="58" spans="2:8" s="4" customFormat="1" x14ac:dyDescent="0.2">
      <c r="B58" s="7"/>
      <c r="C58" s="5" t="s">
        <v>158</v>
      </c>
      <c r="D58" s="6" t="s">
        <v>159</v>
      </c>
      <c r="E58" s="17">
        <v>3</v>
      </c>
      <c r="F58" s="17">
        <v>0</v>
      </c>
      <c r="G58" s="17">
        <v>0</v>
      </c>
      <c r="H58" s="17">
        <v>3</v>
      </c>
    </row>
    <row r="59" spans="2:8" s="4" customFormat="1" x14ac:dyDescent="0.2">
      <c r="B59" s="7"/>
      <c r="C59" s="3" t="s">
        <v>146</v>
      </c>
      <c r="D59" s="3" t="s">
        <v>160</v>
      </c>
      <c r="E59" s="16">
        <v>3</v>
      </c>
      <c r="F59" s="16">
        <v>0</v>
      </c>
      <c r="G59" s="16">
        <v>0</v>
      </c>
      <c r="H59" s="16">
        <v>3</v>
      </c>
    </row>
    <row r="60" spans="2:8" s="4" customFormat="1" x14ac:dyDescent="0.2">
      <c r="B60" s="7"/>
      <c r="C60" s="5" t="s">
        <v>146</v>
      </c>
      <c r="D60" s="5" t="s">
        <v>161</v>
      </c>
      <c r="E60" s="17">
        <v>3</v>
      </c>
      <c r="F60" s="17">
        <v>0</v>
      </c>
      <c r="G60" s="17">
        <v>0</v>
      </c>
      <c r="H60" s="17">
        <v>3</v>
      </c>
    </row>
    <row r="61" spans="2:8" s="4" customFormat="1" x14ac:dyDescent="0.2">
      <c r="B61" s="7" t="s">
        <v>60</v>
      </c>
      <c r="C61" s="3" t="s">
        <v>162</v>
      </c>
      <c r="D61" s="9" t="s">
        <v>163</v>
      </c>
      <c r="E61" s="16">
        <v>0</v>
      </c>
      <c r="F61" s="16">
        <v>0</v>
      </c>
      <c r="G61" s="16">
        <v>3</v>
      </c>
      <c r="H61" s="16">
        <v>2</v>
      </c>
    </row>
    <row r="62" spans="2:8" s="4" customFormat="1" x14ac:dyDescent="0.2">
      <c r="B62" s="7"/>
      <c r="C62" s="5" t="s">
        <v>164</v>
      </c>
      <c r="D62" s="6" t="s">
        <v>165</v>
      </c>
      <c r="E62" s="17">
        <v>0</v>
      </c>
      <c r="F62" s="17">
        <v>0</v>
      </c>
      <c r="G62" s="17">
        <v>3</v>
      </c>
      <c r="H62" s="17">
        <v>2</v>
      </c>
    </row>
    <row r="63" spans="2:8" s="4" customFormat="1" x14ac:dyDescent="0.2">
      <c r="B63" s="7" t="s">
        <v>47</v>
      </c>
      <c r="C63" s="3" t="s">
        <v>146</v>
      </c>
      <c r="D63" s="3" t="s">
        <v>166</v>
      </c>
      <c r="E63" s="16">
        <v>3</v>
      </c>
      <c r="F63" s="16">
        <v>0</v>
      </c>
      <c r="G63" s="16">
        <v>0</v>
      </c>
      <c r="H63" s="16">
        <v>3</v>
      </c>
    </row>
    <row r="64" spans="2:8" s="4" customFormat="1" x14ac:dyDescent="0.2">
      <c r="B64" s="7"/>
      <c r="C64" s="5" t="s">
        <v>146</v>
      </c>
      <c r="D64" s="5" t="s">
        <v>167</v>
      </c>
      <c r="E64" s="17">
        <v>3</v>
      </c>
      <c r="F64" s="17">
        <v>0</v>
      </c>
      <c r="G64" s="17">
        <v>0</v>
      </c>
      <c r="H64" s="17">
        <v>3</v>
      </c>
    </row>
    <row r="65" spans="2:8" s="4" customFormat="1" x14ac:dyDescent="0.2">
      <c r="B65" s="7" t="s">
        <v>60</v>
      </c>
      <c r="C65" s="3" t="s">
        <v>168</v>
      </c>
      <c r="D65" s="3" t="s">
        <v>169</v>
      </c>
      <c r="E65" s="16">
        <v>0</v>
      </c>
      <c r="F65" s="16">
        <v>0</v>
      </c>
      <c r="G65" s="16">
        <v>12</v>
      </c>
      <c r="H65" s="16">
        <v>6</v>
      </c>
    </row>
    <row r="66" spans="2:8" s="4" customFormat="1" x14ac:dyDescent="0.2">
      <c r="B66" s="7"/>
      <c r="C66" s="3"/>
      <c r="D66" s="3"/>
      <c r="E66" s="16"/>
      <c r="F66" s="16"/>
      <c r="G66" s="16"/>
      <c r="H66" s="16"/>
    </row>
    <row r="67" spans="2:8" s="4" customFormat="1" x14ac:dyDescent="0.2">
      <c r="B67" s="98"/>
      <c r="C67" s="98"/>
      <c r="D67" s="98"/>
      <c r="E67" s="98"/>
      <c r="F67" s="98"/>
      <c r="G67" s="98"/>
      <c r="H67" s="98"/>
    </row>
    <row r="68" spans="2:8" s="4" customFormat="1" x14ac:dyDescent="0.2">
      <c r="E68" s="15"/>
      <c r="F68" s="15"/>
      <c r="G68" s="15"/>
      <c r="H68" s="15"/>
    </row>
    <row r="69" spans="2:8" s="4" customFormat="1" x14ac:dyDescent="0.2">
      <c r="B69" s="98" t="s">
        <v>170</v>
      </c>
      <c r="C69" s="98"/>
      <c r="D69" s="98"/>
      <c r="E69" s="98"/>
      <c r="F69" s="98"/>
      <c r="G69" s="98"/>
      <c r="H69" s="98"/>
    </row>
    <row r="70" spans="2:8" s="4" customFormat="1" x14ac:dyDescent="0.2">
      <c r="E70" s="15"/>
      <c r="F70" s="15"/>
      <c r="G70" s="15"/>
      <c r="H70" s="15"/>
    </row>
    <row r="71" spans="2:8" s="4" customFormat="1" x14ac:dyDescent="0.2">
      <c r="E71" s="15"/>
      <c r="F71" s="15"/>
      <c r="G71" s="15"/>
      <c r="H71" s="15"/>
    </row>
    <row r="72" spans="2:8" s="4" customFormat="1" x14ac:dyDescent="0.2">
      <c r="D72" s="19" t="s">
        <v>172</v>
      </c>
      <c r="E72" s="15"/>
      <c r="F72" s="15"/>
      <c r="G72" s="15"/>
      <c r="H72" s="15"/>
    </row>
    <row r="73" spans="2:8" s="4" customFormat="1" x14ac:dyDescent="0.2">
      <c r="D73" s="19" t="s">
        <v>173</v>
      </c>
      <c r="E73" s="15"/>
      <c r="F73" s="15"/>
      <c r="G73" s="15"/>
      <c r="H73" s="15"/>
    </row>
    <row r="74" spans="2:8" s="4" customFormat="1" x14ac:dyDescent="0.2">
      <c r="D74" s="19" t="s">
        <v>174</v>
      </c>
      <c r="E74" s="15"/>
      <c r="F74" s="15"/>
      <c r="G74" s="15"/>
      <c r="H74" s="15"/>
    </row>
    <row r="75" spans="2:8" s="4" customFormat="1" x14ac:dyDescent="0.2">
      <c r="D75" s="19" t="s">
        <v>175</v>
      </c>
      <c r="E75" s="15"/>
      <c r="F75" s="15"/>
      <c r="G75" s="15"/>
      <c r="H75" s="15"/>
    </row>
    <row r="76" spans="2:8" s="4" customFormat="1" x14ac:dyDescent="0.2">
      <c r="E76" s="15"/>
      <c r="F76" s="15"/>
      <c r="G76" s="15"/>
      <c r="H76" s="15"/>
    </row>
    <row r="77" spans="2:8" s="4" customFormat="1" x14ac:dyDescent="0.2">
      <c r="E77" s="15"/>
      <c r="F77" s="15"/>
      <c r="G77" s="15"/>
      <c r="H77" s="15"/>
    </row>
    <row r="78" spans="2:8" s="4" customFormat="1" x14ac:dyDescent="0.2">
      <c r="E78" s="15"/>
      <c r="F78" s="15"/>
      <c r="G78" s="15"/>
      <c r="H78" s="15"/>
    </row>
    <row r="79" spans="2:8" s="4" customFormat="1" x14ac:dyDescent="0.2">
      <c r="E79" s="15"/>
      <c r="F79" s="15"/>
      <c r="G79" s="15"/>
      <c r="H79" s="15"/>
    </row>
    <row r="80" spans="2:8" s="4" customFormat="1" x14ac:dyDescent="0.2">
      <c r="E80" s="15"/>
      <c r="F80" s="15"/>
      <c r="G80" s="15"/>
      <c r="H80" s="15"/>
    </row>
    <row r="81" spans="5:8" s="4" customFormat="1" x14ac:dyDescent="0.2">
      <c r="E81" s="15"/>
      <c r="F81" s="15"/>
      <c r="G81" s="15"/>
      <c r="H81" s="15"/>
    </row>
    <row r="82" spans="5:8" s="4" customFormat="1" x14ac:dyDescent="0.2">
      <c r="E82" s="15"/>
      <c r="F82" s="15"/>
      <c r="G82" s="15"/>
      <c r="H82" s="15"/>
    </row>
  </sheetData>
  <mergeCells count="2">
    <mergeCell ref="B67:H67"/>
    <mergeCell ref="B69:H69"/>
  </mergeCells>
  <hyperlinks>
    <hyperlink ref="D5" r:id="rId1" display="https://cs.annauniv.edu/academic/ug2012/M1.pdf" xr:uid="{2D103F07-E13E-4B0C-B05D-F0B85DE88737}"/>
    <hyperlink ref="D9" r:id="rId2" display="https://cs.annauniv.edu/academic/ug2012/CT.pdf" xr:uid="{B96F15F7-37E2-4B1F-A4BD-6EE8AE033E49}"/>
    <hyperlink ref="D13" r:id="rId3" display="https://cs.annauniv.edu/academic/ug2012/CP-Lab.pdf" xr:uid="{6A4AC320-D3A0-4129-B968-16169A99B3CE}"/>
    <hyperlink ref="D15" r:id="rId4" display="https://cs.annauniv.edu/academic/ug2012/M2.pdf" xr:uid="{FDE6FC3F-4C42-4524-A8C7-002EE9AB4497}"/>
    <hyperlink ref="D16" r:id="rId5" display="https://cs.annauniv.edu/academic/ug2012/CP.pdf" xr:uid="{52D5C906-9B68-46F5-B812-3FB8BED5C032}"/>
    <hyperlink ref="D17" r:id="rId6" display="https://cs.annauniv.edu/academic/ug2012/PCE.pdf" xr:uid="{AD2CECB1-710C-4CE1-AC55-5E1B5384C095}"/>
    <hyperlink ref="D18" r:id="rId7" display="https://cs.annauniv.edu/academic/ug2012/PC++.pdf" xr:uid="{B0186B96-8302-4AC3-AD9A-475F7ADFBE2E}"/>
    <hyperlink ref="D19" r:id="rId8" display="https://cs.annauniv.edu/academic/ug2012/DPSD.pdf" xr:uid="{9C5287C3-7997-465A-B722-3B83D22795DE}"/>
    <hyperlink ref="D20" r:id="rId9" display="https://cs.annauniv.edu/academic/ug2012/PRG-Lab.pdf" xr:uid="{9413522C-CA1D-420F-AC6E-B5FD82020417}"/>
    <hyperlink ref="D21" r:id="rId10" display="https://cs.annauniv.edu/academic/ug2012/DIGITAL-Lab.pdf" xr:uid="{D1D77E92-006D-4373-A645-107242D6712E}"/>
    <hyperlink ref="D22" r:id="rId11" display="https://cs.annauniv.edu/academic/ug2012/ANT.pdf" xr:uid="{47388DBB-9A97-4FA5-9F7A-71B1C4D1E84D}"/>
    <hyperlink ref="D23" r:id="rId12" display="https://cs.annauniv.edu/academic/ug2012/EDC.pdf" xr:uid="{188C559C-4BAE-4D34-831B-A292585779A3}"/>
    <hyperlink ref="D24" r:id="rId13" display="https://cs.annauniv.edu/academic/ug2012/DS.pdf" xr:uid="{504E0689-8A7F-48ED-A34B-E484FBE8A8DD}"/>
    <hyperlink ref="D25" r:id="rId14" display="https://cs.annauniv.edu/academic/ug2012/DBMS.pdf" xr:uid="{904ED49B-A84F-4C87-AFBA-7D6F7DE03213}"/>
    <hyperlink ref="D26" r:id="rId15" display="https://cs.annauniv.edu/academic/ug2012/EVS.pdf" xr:uid="{189B9F2E-91B3-418C-A7FF-047155151148}"/>
    <hyperlink ref="D27" r:id="rId16" display="https://cs.annauniv.edu/academic/ug2012/CA.pdf" xr:uid="{38E15373-A9F0-4BB2-B690-8C0262CF6315}"/>
    <hyperlink ref="D28" r:id="rId17" display="https://cs.annauniv.edu/academic/ug2012/DBMS-Lab.pdf" xr:uid="{CD24B2B8-16A1-4542-8353-86E5E220EF5A}"/>
    <hyperlink ref="D29" r:id="rId18" display="https://cs.annauniv.edu/academic/ug2012/DS-Lab.pdf" xr:uid="{1C71F658-FF07-4944-B951-BCCD620E8A73}"/>
    <hyperlink ref="D30" r:id="rId19" display="https://cs.annauniv.edu/academic/ug2012/EECS.pdf" xr:uid="{ACD80DF4-14E6-4DC7-8C8F-F7C79B3E2A6F}"/>
    <hyperlink ref="D31" r:id="rId20" display="https://cs.annauniv.edu/academic/ug2012/DAA.pdf" xr:uid="{3C621D0C-5BBF-4623-B753-0B1985F44F81}"/>
    <hyperlink ref="D32" r:id="rId21" display="https://cs.annauniv.edu/academic/ug2012/OS.pdf" xr:uid="{0A32403F-4937-400D-B239-147E85BE6342}"/>
    <hyperlink ref="D33" r:id="rId22" display="https://cs.annauniv.edu/academic/ug2012/JIP.pdf" xr:uid="{2A5A6B48-5B9F-4BC7-9B87-41ED5473EA45}"/>
    <hyperlink ref="D34" r:id="rId23" display="https://cs.annauniv.edu/academic/ug2012/PQT.pdf" xr:uid="{E43548AC-0337-47D5-B28F-1B2DA548857F}"/>
    <hyperlink ref="D35" r:id="rId24" display="https://cs.annauniv.edu/academic/ug2012/SE.pdf" xr:uid="{B936AD07-C609-40D9-8024-AB8E2FC1224F}"/>
    <hyperlink ref="D36" r:id="rId25" display="https://cs.annauniv.edu/academic/ug2012/JIP-Lab.pdf" xr:uid="{6E5FECC9-8B05-4A6D-AB9A-FF3E8F025DF9}"/>
    <hyperlink ref="D37" r:id="rId26" display="https://cs.annauniv.edu/academic/ug2012/OS-Lab.pdf" xr:uid="{E309AE60-48C6-45A9-8393-0198BAC95224}"/>
    <hyperlink ref="D38" r:id="rId27" display="https://cs.annauniv.edu/academic/ug2012/OOAD.pdf" xr:uid="{E6869210-0FBC-42A2-90CE-0E050CEEE807}"/>
    <hyperlink ref="D39" r:id="rId28" display="https://cs.annauniv.edu/academic/ug2012/TOC.pdf" xr:uid="{113769ED-6E8D-4E4E-925A-5C0B98556371}"/>
    <hyperlink ref="D40" r:id="rId29" display="https://cs.annauniv.edu/academic/ug2012/SSI.pdf" xr:uid="{A2726858-1CBB-4338-B658-3DF41BEB48BE}"/>
    <hyperlink ref="D41" r:id="rId30" display="https://cs.annauniv.edu/academic/ug2012/MP.pdf" xr:uid="{480BE515-04AC-4B13-B529-5DBE8F5DC071}"/>
    <hyperlink ref="D42" r:id="rId31" display="https://cs.annauniv.edu/academic/ug2012/DCCN.pdf" xr:uid="{7B6A3CFC-5F4B-482E-9E96-5190ACB3B795}"/>
    <hyperlink ref="D44" r:id="rId32" display="https://cs.annauniv.edu/academic/ug2012/CN-Lab.pdf" xr:uid="{9BE5B968-6E92-44E3-A1FD-E49255BFD3BE}"/>
    <hyperlink ref="D45" r:id="rId33" display="https://cs.annauniv.edu/academic/ug2012/CT-Lab.pdf" xr:uid="{447AB2BE-94CE-4858-A36C-2F92BAA31861}"/>
    <hyperlink ref="D46" r:id="rId34" display="https://cs.annauniv.edu/academic/ug2012/MP-Lab.pdf" xr:uid="{1773CD30-7AF3-4FE2-A307-3CA9A21D3B4D}"/>
    <hyperlink ref="D47" r:id="rId35" display="https://cs.annauniv.edu/academic/ug2012/AI.pdf" xr:uid="{14EDBA1F-010F-416B-8A88-C5239C526253}"/>
    <hyperlink ref="D48" r:id="rId36" display="https://cs.annauniv.edu/academic/ug2012/DSP.pdf" xr:uid="{8BF77345-D67A-4282-B100-595D10CAE932}"/>
    <hyperlink ref="D49" r:id="rId37" display="https://cs.annauniv.edu/academic/ug2012/CG.pdf" xr:uid="{C8CB7C4D-5F44-4BD1-B084-F671F4C6E4A8}"/>
    <hyperlink ref="D50" r:id="rId38" display="https://cs.annauniv.edu/academic/ug2012/CD.pdf" xr:uid="{3B3247FC-A446-4F99-AAB6-21660A98E6BC}"/>
    <hyperlink ref="D51" r:id="rId39" display="https://cs.annauniv.edu/academic/ug2012/PP.pdf" xr:uid="{2D3BBB00-DFCC-49D2-A8AA-EB04090D89E7}"/>
    <hyperlink ref="D54" r:id="rId40" display="https://cs.annauniv.edu/academic/ug2012/CG-Lab.pdf" xr:uid="{781A333F-3BA5-4080-BD7B-CD151FDD1369}"/>
    <hyperlink ref="D55" r:id="rId41" display="https://cs.annauniv.edu/academic/ug2012/MPC.pdf" xr:uid="{F24436A7-F3B7-4FA9-B379-2FA9056F0F49}"/>
    <hyperlink ref="D56" r:id="rId42" display="https://cs.annauniv.edu/academic/ug2012/SIC.pdf" xr:uid="{7CF29B68-2232-4DF7-947A-888787DF8A07}"/>
    <hyperlink ref="D57" r:id="rId43" display="https://cs.annauniv.edu/academic/ug2012/POM.pdf" xr:uid="{618A9B6D-E370-4F59-AAD9-A23968BB01CE}"/>
    <hyperlink ref="D58" r:id="rId44" display="https://cs.annauniv.edu/academic/ug2012/PARALLEL.pdf" xr:uid="{C7A1815A-C47C-4DF6-A979-E790B6032F18}"/>
    <hyperlink ref="D61" r:id="rId45" display="https://cs.annauniv.edu/academic/ug2012/SD-Lab.pdf" xr:uid="{5BDF81EC-4F22-4533-BB5F-97522D826BE1}"/>
    <hyperlink ref="D62" r:id="rId46" display="https://cs.annauniv.edu/academic/ug2012/MAD-Lab.pdf" xr:uid="{8512F721-3AAF-4A97-AB24-BFEA9E150C97}"/>
  </hyperlinks>
  <pageMargins left="0.7" right="0.7" top="0.75" bottom="0.75" header="0.3" footer="0.3"/>
  <pageSetup paperSize="9" orientation="portrait" r:id="rId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 Project (2)</vt:lpstr>
      <vt:lpstr>Excel Project</vt:lpstr>
      <vt:lpstr>Course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2023-10-31T12:56:09Z</dcterms:modified>
</cp:coreProperties>
</file>